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9af3861ddc11ba3/Escritorio/notas 2026/"/>
    </mc:Choice>
  </mc:AlternateContent>
  <xr:revisionPtr revIDLastSave="96" documentId="13_ncr:1_{7424C9B3-8AA6-4F9B-9800-AB17D5A755FA}" xr6:coauthVersionLast="47" xr6:coauthVersionMax="47" xr10:uidLastSave="{AF21A458-612C-4CC3-8DB4-A334E8CF76F0}"/>
  <bookViews>
    <workbookView xWindow="-108" yWindow="-108" windowWidth="23256" windowHeight="12456" firstSheet="4" activeTab="8" xr2:uid="{00000000-000D-0000-FFFF-FFFF00000000}"/>
  </bookViews>
  <sheets>
    <sheet name="Datos Generales" sheetId="41" r:id="rId1"/>
    <sheet name="Unidad 1" sheetId="6" r:id="rId2"/>
    <sheet name="Unidad 2" sheetId="71" r:id="rId3"/>
    <sheet name="Unidad 3" sheetId="72" r:id="rId4"/>
    <sheet name="Unidad 4" sheetId="73" r:id="rId5"/>
    <sheet name="Estadistica Final" sheetId="42" r:id="rId6"/>
    <sheet name="Promedio Final Alumno" sheetId="37" r:id="rId7"/>
    <sheet name="Plantilla" sheetId="10" r:id="rId8"/>
    <sheet name="1" sheetId="74" r:id="rId9"/>
    <sheet name="2" sheetId="75" r:id="rId10"/>
    <sheet name="3" sheetId="76" r:id="rId11"/>
    <sheet name="4" sheetId="77" r:id="rId12"/>
    <sheet name="5" sheetId="78" r:id="rId13"/>
    <sheet name="6" sheetId="79" r:id="rId14"/>
    <sheet name="7" sheetId="80" r:id="rId15"/>
    <sheet name="8" sheetId="81" r:id="rId16"/>
    <sheet name="9" sheetId="82" r:id="rId17"/>
    <sheet name="10" sheetId="83" r:id="rId18"/>
    <sheet name="11" sheetId="84" r:id="rId19"/>
    <sheet name="12" sheetId="85" r:id="rId20"/>
    <sheet name="13" sheetId="86" r:id="rId21"/>
    <sheet name="14" sheetId="87" r:id="rId22"/>
    <sheet name="15" sheetId="88" r:id="rId23"/>
    <sheet name="16" sheetId="89" r:id="rId24"/>
    <sheet name="17" sheetId="90" r:id="rId25"/>
    <sheet name="18" sheetId="91" r:id="rId26"/>
    <sheet name="19" sheetId="92" r:id="rId27"/>
    <sheet name="20" sheetId="93" r:id="rId28"/>
    <sheet name="21" sheetId="94" r:id="rId29"/>
    <sheet name="22" sheetId="95" r:id="rId30"/>
    <sheet name="23" sheetId="96" r:id="rId31"/>
    <sheet name="24" sheetId="97" r:id="rId32"/>
    <sheet name="25" sheetId="98" r:id="rId33"/>
    <sheet name="26" sheetId="99" r:id="rId34"/>
    <sheet name="27" sheetId="100" r:id="rId35"/>
    <sheet name="28" sheetId="101" r:id="rId36"/>
    <sheet name="29" sheetId="102" r:id="rId37"/>
    <sheet name="30" sheetId="103" r:id="rId38"/>
  </sheets>
  <functionGroups builtInGroupCount="19"/>
  <calcPr calcId="181029"/>
</workbook>
</file>

<file path=xl/calcChain.xml><?xml version="1.0" encoding="utf-8"?>
<calcChain xmlns="http://schemas.openxmlformats.org/spreadsheetml/2006/main">
  <c r="C24" i="96" l="1"/>
  <c r="E24" i="96"/>
  <c r="G24" i="96"/>
  <c r="I24" i="96"/>
  <c r="K24" i="96"/>
  <c r="M24" i="96"/>
  <c r="Z29" i="42"/>
  <c r="AD25" i="42"/>
  <c r="L26" i="97"/>
  <c r="C24" i="97"/>
  <c r="L26" i="95"/>
  <c r="C24" i="95"/>
  <c r="L26" i="94"/>
  <c r="C24" i="94"/>
  <c r="L26" i="93"/>
  <c r="C24" i="93"/>
  <c r="L26" i="92"/>
  <c r="C24" i="92"/>
  <c r="L26" i="91"/>
  <c r="C24" i="91"/>
  <c r="L26" i="90"/>
  <c r="C24" i="90"/>
  <c r="L26" i="89"/>
  <c r="C24" i="89"/>
  <c r="L26" i="88"/>
  <c r="C24" i="88"/>
  <c r="L26" i="87"/>
  <c r="C24" i="87"/>
  <c r="L26" i="86"/>
  <c r="C24" i="86"/>
  <c r="L26" i="85"/>
  <c r="C24" i="85"/>
  <c r="L26" i="84"/>
  <c r="C24" i="84"/>
  <c r="L26" i="83"/>
  <c r="C24" i="83"/>
  <c r="L26" i="82"/>
  <c r="C24" i="82"/>
  <c r="L26" i="81"/>
  <c r="C24" i="81"/>
  <c r="L26" i="80"/>
  <c r="C24" i="80"/>
  <c r="L26" i="79"/>
  <c r="C24" i="79"/>
  <c r="L26" i="78"/>
  <c r="C24" i="78"/>
  <c r="L26" i="77"/>
  <c r="C24" i="77"/>
  <c r="L26" i="76"/>
  <c r="N26" i="76"/>
  <c r="C24" i="76"/>
  <c r="L26" i="75"/>
  <c r="C24" i="75"/>
  <c r="L26" i="74"/>
  <c r="C24" i="74"/>
  <c r="G35" i="103"/>
  <c r="C31" i="103"/>
  <c r="M29" i="103"/>
  <c r="O29" i="103" s="1"/>
  <c r="K29" i="103"/>
  <c r="I29" i="103"/>
  <c r="G29" i="103"/>
  <c r="E29" i="103"/>
  <c r="C29" i="103"/>
  <c r="C28" i="103"/>
  <c r="M28" i="103" s="1"/>
  <c r="O28" i="103" s="1"/>
  <c r="M27" i="103"/>
  <c r="O27" i="103" s="1"/>
  <c r="C27" i="103"/>
  <c r="C26" i="103"/>
  <c r="M26" i="103" s="1"/>
  <c r="O26" i="103" s="1"/>
  <c r="C25" i="103"/>
  <c r="C24" i="103"/>
  <c r="C23" i="103"/>
  <c r="C22" i="103"/>
  <c r="C21" i="103"/>
  <c r="C20" i="103"/>
  <c r="C19" i="103"/>
  <c r="C18" i="103"/>
  <c r="C17" i="103"/>
  <c r="C16" i="103"/>
  <c r="C15" i="103"/>
  <c r="C14" i="103"/>
  <c r="O11" i="103"/>
  <c r="M11" i="103"/>
  <c r="K11" i="103"/>
  <c r="I11" i="103"/>
  <c r="G11" i="103"/>
  <c r="E11" i="103"/>
  <c r="C11" i="103"/>
  <c r="E10" i="103"/>
  <c r="M8" i="103"/>
  <c r="K8" i="103"/>
  <c r="E8" i="103"/>
  <c r="C8" i="103"/>
  <c r="C7" i="103"/>
  <c r="D5" i="103"/>
  <c r="D4" i="103"/>
  <c r="D2" i="103"/>
  <c r="E1" i="103"/>
  <c r="G35" i="102"/>
  <c r="C31" i="102"/>
  <c r="K29" i="102"/>
  <c r="I29" i="102"/>
  <c r="G29" i="102"/>
  <c r="E29" i="102"/>
  <c r="M29" i="102" s="1"/>
  <c r="O29" i="102" s="1"/>
  <c r="C29" i="102"/>
  <c r="O28" i="102"/>
  <c r="M28" i="102"/>
  <c r="C28" i="102"/>
  <c r="M27" i="102"/>
  <c r="O27" i="102" s="1"/>
  <c r="C27" i="102"/>
  <c r="M26" i="102"/>
  <c r="O26" i="102" s="1"/>
  <c r="C26" i="102"/>
  <c r="C25" i="102"/>
  <c r="C24" i="102"/>
  <c r="C23" i="102"/>
  <c r="C22" i="102"/>
  <c r="C21" i="102"/>
  <c r="C20" i="102"/>
  <c r="C19" i="102"/>
  <c r="C18" i="102"/>
  <c r="C17" i="102"/>
  <c r="C16" i="102"/>
  <c r="C15" i="102"/>
  <c r="C14" i="102"/>
  <c r="O11" i="102"/>
  <c r="M11" i="102"/>
  <c r="K11" i="102"/>
  <c r="I11" i="102"/>
  <c r="G11" i="102"/>
  <c r="E11" i="102"/>
  <c r="C11" i="102"/>
  <c r="E10" i="102"/>
  <c r="M8" i="102"/>
  <c r="K8" i="102"/>
  <c r="E8" i="102"/>
  <c r="C8" i="102"/>
  <c r="C7" i="102"/>
  <c r="D5" i="102"/>
  <c r="D4" i="102"/>
  <c r="D2" i="102"/>
  <c r="E1" i="102"/>
  <c r="G35" i="101"/>
  <c r="C31" i="101"/>
  <c r="K29" i="101"/>
  <c r="I29" i="101"/>
  <c r="G29" i="101"/>
  <c r="E29" i="101"/>
  <c r="M29" i="101" s="1"/>
  <c r="O29" i="101" s="1"/>
  <c r="C29" i="101"/>
  <c r="M28" i="101"/>
  <c r="O28" i="101" s="1"/>
  <c r="C28" i="101"/>
  <c r="M27" i="101"/>
  <c r="O27" i="101" s="1"/>
  <c r="C27" i="101"/>
  <c r="C26" i="101"/>
  <c r="M26" i="101" s="1"/>
  <c r="O26" i="101" s="1"/>
  <c r="C25" i="101"/>
  <c r="C24" i="101"/>
  <c r="C23" i="101"/>
  <c r="C22" i="101"/>
  <c r="C21" i="101"/>
  <c r="C20" i="101"/>
  <c r="C19" i="101"/>
  <c r="C18" i="101"/>
  <c r="C17" i="101"/>
  <c r="C16" i="101"/>
  <c r="C15" i="101"/>
  <c r="C14" i="101"/>
  <c r="O11" i="101"/>
  <c r="M11" i="101"/>
  <c r="K11" i="101"/>
  <c r="I11" i="101"/>
  <c r="G11" i="101"/>
  <c r="E11" i="101"/>
  <c r="C11" i="101"/>
  <c r="E10" i="101"/>
  <c r="M8" i="101"/>
  <c r="K8" i="101"/>
  <c r="E8" i="101"/>
  <c r="C8" i="101"/>
  <c r="C7" i="101"/>
  <c r="D5" i="101"/>
  <c r="D4" i="101"/>
  <c r="D2" i="101"/>
  <c r="E1" i="101"/>
  <c r="G35" i="100"/>
  <c r="C31" i="100"/>
  <c r="M29" i="100"/>
  <c r="O29" i="100" s="1"/>
  <c r="K29" i="100"/>
  <c r="I29" i="100"/>
  <c r="G29" i="100"/>
  <c r="E29" i="100"/>
  <c r="C29" i="100"/>
  <c r="C28" i="100"/>
  <c r="M28" i="100" s="1"/>
  <c r="O28" i="100" s="1"/>
  <c r="M27" i="100"/>
  <c r="O27" i="100" s="1"/>
  <c r="C27" i="100"/>
  <c r="C26" i="100"/>
  <c r="M26" i="100" s="1"/>
  <c r="O26" i="100" s="1"/>
  <c r="C25" i="100"/>
  <c r="C24" i="100"/>
  <c r="C23" i="100"/>
  <c r="C22" i="100"/>
  <c r="C21" i="100"/>
  <c r="C20" i="100"/>
  <c r="C19" i="100"/>
  <c r="C18" i="100"/>
  <c r="C17" i="100"/>
  <c r="C16" i="100"/>
  <c r="C15" i="100"/>
  <c r="C14" i="100"/>
  <c r="O11" i="100"/>
  <c r="M11" i="100"/>
  <c r="K11" i="100"/>
  <c r="I11" i="100"/>
  <c r="G11" i="100"/>
  <c r="E11" i="100"/>
  <c r="C11" i="100"/>
  <c r="E10" i="100"/>
  <c r="M8" i="100"/>
  <c r="K8" i="100"/>
  <c r="E8" i="100"/>
  <c r="C8" i="100"/>
  <c r="C7" i="100"/>
  <c r="D5" i="100"/>
  <c r="D4" i="100"/>
  <c r="D2" i="100"/>
  <c r="E1" i="100"/>
  <c r="G35" i="99"/>
  <c r="C31" i="99"/>
  <c r="K29" i="99"/>
  <c r="I29" i="99"/>
  <c r="G29" i="99"/>
  <c r="E29" i="99"/>
  <c r="M29" i="99" s="1"/>
  <c r="O29" i="99" s="1"/>
  <c r="C29" i="99"/>
  <c r="M28" i="99"/>
  <c r="O28" i="99" s="1"/>
  <c r="C28" i="99"/>
  <c r="C27" i="99"/>
  <c r="M27" i="99" s="1"/>
  <c r="O27" i="99" s="1"/>
  <c r="C26" i="99"/>
  <c r="M26" i="99" s="1"/>
  <c r="O26" i="99" s="1"/>
  <c r="C25" i="99"/>
  <c r="C24" i="99"/>
  <c r="C23" i="99"/>
  <c r="C22" i="99"/>
  <c r="C21" i="99"/>
  <c r="C20" i="99"/>
  <c r="C19" i="99"/>
  <c r="C18" i="99"/>
  <c r="C17" i="99"/>
  <c r="C16" i="99"/>
  <c r="C15" i="99"/>
  <c r="C14" i="99"/>
  <c r="O11" i="99"/>
  <c r="M11" i="99"/>
  <c r="K11" i="99"/>
  <c r="I11" i="99"/>
  <c r="G11" i="99"/>
  <c r="E11" i="99"/>
  <c r="C11" i="99"/>
  <c r="E10" i="99"/>
  <c r="M8" i="99"/>
  <c r="K8" i="99"/>
  <c r="E8" i="99"/>
  <c r="C8" i="99"/>
  <c r="C7" i="99"/>
  <c r="D5" i="99"/>
  <c r="D4" i="99"/>
  <c r="D2" i="99"/>
  <c r="E1" i="99"/>
  <c r="G30" i="98"/>
  <c r="C26" i="98"/>
  <c r="K24" i="98"/>
  <c r="I24" i="98"/>
  <c r="G24" i="98"/>
  <c r="E24" i="98"/>
  <c r="C24" i="98"/>
  <c r="C23" i="98"/>
  <c r="C22" i="98"/>
  <c r="C21" i="98"/>
  <c r="C20" i="98"/>
  <c r="C19" i="98"/>
  <c r="C18" i="98"/>
  <c r="C17" i="98"/>
  <c r="C16" i="98"/>
  <c r="C15" i="98"/>
  <c r="C14" i="98"/>
  <c r="O11" i="98"/>
  <c r="M11" i="98"/>
  <c r="K11" i="98"/>
  <c r="I11" i="98"/>
  <c r="G11" i="98"/>
  <c r="E11" i="98"/>
  <c r="C11" i="98"/>
  <c r="E10" i="98"/>
  <c r="M8" i="98"/>
  <c r="K8" i="98"/>
  <c r="E8" i="98"/>
  <c r="C8" i="98"/>
  <c r="C7" i="98"/>
  <c r="D5" i="98"/>
  <c r="D4" i="98"/>
  <c r="D2" i="98"/>
  <c r="E1" i="98"/>
  <c r="G30" i="97"/>
  <c r="C26" i="97"/>
  <c r="C23" i="97"/>
  <c r="C22" i="97"/>
  <c r="C21" i="97"/>
  <c r="C20" i="97"/>
  <c r="C19" i="97"/>
  <c r="C18" i="97"/>
  <c r="C17" i="97"/>
  <c r="C16" i="97"/>
  <c r="C15" i="97"/>
  <c r="C14" i="97"/>
  <c r="O11" i="97"/>
  <c r="M11" i="97"/>
  <c r="K11" i="97"/>
  <c r="I11" i="97"/>
  <c r="G11" i="97"/>
  <c r="E11" i="97"/>
  <c r="C11" i="97"/>
  <c r="E10" i="97"/>
  <c r="M8" i="97"/>
  <c r="K8" i="97"/>
  <c r="E8" i="97"/>
  <c r="C8" i="97"/>
  <c r="C7" i="97"/>
  <c r="D5" i="97"/>
  <c r="D4" i="97"/>
  <c r="D2" i="97"/>
  <c r="E1" i="97"/>
  <c r="G30" i="96"/>
  <c r="C26" i="96"/>
  <c r="C23" i="96"/>
  <c r="C22" i="96"/>
  <c r="C21" i="96"/>
  <c r="C20" i="96"/>
  <c r="C19" i="96"/>
  <c r="C18" i="96"/>
  <c r="C17" i="96"/>
  <c r="C16" i="96"/>
  <c r="C15" i="96"/>
  <c r="C14" i="96"/>
  <c r="O11" i="96"/>
  <c r="M11" i="96"/>
  <c r="K11" i="96"/>
  <c r="I11" i="96"/>
  <c r="G11" i="96"/>
  <c r="E11" i="96"/>
  <c r="C11" i="96"/>
  <c r="E10" i="96"/>
  <c r="M8" i="96"/>
  <c r="K8" i="96"/>
  <c r="E8" i="96"/>
  <c r="C8" i="96"/>
  <c r="C7" i="96"/>
  <c r="D5" i="96"/>
  <c r="D4" i="96"/>
  <c r="D2" i="96"/>
  <c r="E1" i="96"/>
  <c r="G30" i="95"/>
  <c r="C26" i="95"/>
  <c r="C23" i="95"/>
  <c r="C22" i="95"/>
  <c r="C21" i="95"/>
  <c r="C20" i="95"/>
  <c r="C19" i="95"/>
  <c r="C18" i="95"/>
  <c r="C17" i="95"/>
  <c r="C16" i="95"/>
  <c r="C15" i="95"/>
  <c r="C14" i="95"/>
  <c r="O11" i="95"/>
  <c r="M11" i="95"/>
  <c r="K11" i="95"/>
  <c r="I11" i="95"/>
  <c r="G11" i="95"/>
  <c r="E11" i="95"/>
  <c r="C11" i="95"/>
  <c r="E10" i="95"/>
  <c r="M8" i="95"/>
  <c r="K8" i="95"/>
  <c r="E8" i="95"/>
  <c r="C8" i="95"/>
  <c r="C7" i="95"/>
  <c r="D5" i="95"/>
  <c r="D4" i="95"/>
  <c r="D2" i="95"/>
  <c r="E1" i="95"/>
  <c r="G30" i="94"/>
  <c r="C26" i="94"/>
  <c r="C23" i="94"/>
  <c r="C22" i="94"/>
  <c r="C21" i="94"/>
  <c r="C20" i="94"/>
  <c r="C19" i="94"/>
  <c r="C18" i="94"/>
  <c r="C17" i="94"/>
  <c r="C16" i="94"/>
  <c r="C15" i="94"/>
  <c r="C14" i="94"/>
  <c r="O11" i="94"/>
  <c r="M11" i="94"/>
  <c r="K11" i="94"/>
  <c r="I11" i="94"/>
  <c r="G11" i="94"/>
  <c r="E11" i="94"/>
  <c r="C11" i="94"/>
  <c r="E10" i="94"/>
  <c r="M8" i="94"/>
  <c r="K8" i="94"/>
  <c r="E8" i="94"/>
  <c r="C8" i="94"/>
  <c r="C7" i="94"/>
  <c r="D5" i="94"/>
  <c r="D4" i="94"/>
  <c r="D2" i="94"/>
  <c r="E1" i="94"/>
  <c r="G30" i="93"/>
  <c r="C26" i="93"/>
  <c r="C23" i="93"/>
  <c r="C22" i="93"/>
  <c r="C21" i="93"/>
  <c r="C20" i="93"/>
  <c r="C19" i="93"/>
  <c r="C18" i="93"/>
  <c r="C17" i="93"/>
  <c r="C16" i="93"/>
  <c r="C15" i="93"/>
  <c r="C14" i="93"/>
  <c r="O11" i="93"/>
  <c r="M11" i="93"/>
  <c r="K11" i="93"/>
  <c r="I11" i="93"/>
  <c r="G11" i="93"/>
  <c r="E11" i="93"/>
  <c r="C11" i="93"/>
  <c r="E10" i="93"/>
  <c r="M8" i="93"/>
  <c r="K8" i="93"/>
  <c r="E8" i="93"/>
  <c r="C8" i="93"/>
  <c r="C7" i="93"/>
  <c r="D5" i="93"/>
  <c r="D4" i="93"/>
  <c r="D2" i="93"/>
  <c r="E1" i="93"/>
  <c r="G30" i="92"/>
  <c r="C26" i="92"/>
  <c r="C23" i="92"/>
  <c r="C22" i="92"/>
  <c r="C21" i="92"/>
  <c r="C20" i="92"/>
  <c r="C19" i="92"/>
  <c r="C18" i="92"/>
  <c r="C17" i="92"/>
  <c r="C16" i="92"/>
  <c r="C15" i="92"/>
  <c r="C14" i="92"/>
  <c r="O11" i="92"/>
  <c r="M11" i="92"/>
  <c r="K11" i="92"/>
  <c r="I11" i="92"/>
  <c r="G11" i="92"/>
  <c r="E11" i="92"/>
  <c r="C11" i="92"/>
  <c r="E10" i="92"/>
  <c r="M8" i="92"/>
  <c r="K8" i="92"/>
  <c r="E8" i="92"/>
  <c r="C8" i="92"/>
  <c r="C7" i="92"/>
  <c r="D5" i="92"/>
  <c r="D4" i="92"/>
  <c r="D2" i="92"/>
  <c r="E1" i="92"/>
  <c r="G30" i="91"/>
  <c r="C26" i="91"/>
  <c r="C23" i="91"/>
  <c r="C22" i="91"/>
  <c r="C21" i="91"/>
  <c r="C20" i="91"/>
  <c r="C19" i="91"/>
  <c r="C18" i="91"/>
  <c r="C17" i="91"/>
  <c r="C16" i="91"/>
  <c r="C15" i="91"/>
  <c r="C14" i="91"/>
  <c r="O11" i="91"/>
  <c r="M11" i="91"/>
  <c r="K11" i="91"/>
  <c r="I11" i="91"/>
  <c r="G11" i="91"/>
  <c r="E11" i="91"/>
  <c r="C11" i="91"/>
  <c r="E10" i="91"/>
  <c r="M8" i="91"/>
  <c r="K8" i="91"/>
  <c r="E8" i="91"/>
  <c r="C8" i="91"/>
  <c r="C7" i="91"/>
  <c r="D5" i="91"/>
  <c r="D4" i="91"/>
  <c r="D2" i="91"/>
  <c r="E1" i="91"/>
  <c r="G30" i="90"/>
  <c r="C26" i="90"/>
  <c r="C23" i="90"/>
  <c r="C22" i="90"/>
  <c r="C21" i="90"/>
  <c r="C20" i="90"/>
  <c r="C19" i="90"/>
  <c r="C18" i="90"/>
  <c r="C17" i="90"/>
  <c r="C16" i="90"/>
  <c r="C15" i="90"/>
  <c r="C14" i="90"/>
  <c r="O11" i="90"/>
  <c r="M11" i="90"/>
  <c r="K11" i="90"/>
  <c r="I11" i="90"/>
  <c r="G11" i="90"/>
  <c r="E11" i="90"/>
  <c r="C11" i="90"/>
  <c r="E10" i="90"/>
  <c r="M8" i="90"/>
  <c r="K8" i="90"/>
  <c r="E8" i="90"/>
  <c r="C8" i="90"/>
  <c r="C7" i="90"/>
  <c r="D5" i="90"/>
  <c r="D4" i="90"/>
  <c r="D2" i="90"/>
  <c r="E1" i="90"/>
  <c r="G30" i="89"/>
  <c r="C26" i="89"/>
  <c r="C23" i="89"/>
  <c r="C22" i="89"/>
  <c r="C21" i="89"/>
  <c r="C20" i="89"/>
  <c r="C19" i="89"/>
  <c r="C18" i="89"/>
  <c r="C17" i="89"/>
  <c r="C16" i="89"/>
  <c r="C15" i="89"/>
  <c r="C14" i="89"/>
  <c r="O11" i="89"/>
  <c r="M11" i="89"/>
  <c r="K11" i="89"/>
  <c r="I11" i="89"/>
  <c r="G11" i="89"/>
  <c r="E11" i="89"/>
  <c r="C11" i="89"/>
  <c r="E10" i="89"/>
  <c r="M8" i="89"/>
  <c r="K8" i="89"/>
  <c r="E8" i="89"/>
  <c r="C8" i="89"/>
  <c r="C7" i="89"/>
  <c r="D5" i="89"/>
  <c r="D4" i="89"/>
  <c r="D2" i="89"/>
  <c r="E1" i="89"/>
  <c r="G30" i="88"/>
  <c r="C26" i="88"/>
  <c r="C23" i="88"/>
  <c r="C22" i="88"/>
  <c r="C21" i="88"/>
  <c r="C20" i="88"/>
  <c r="C19" i="88"/>
  <c r="C18" i="88"/>
  <c r="C17" i="88"/>
  <c r="C16" i="88"/>
  <c r="C15" i="88"/>
  <c r="C14" i="88"/>
  <c r="O11" i="88"/>
  <c r="M11" i="88"/>
  <c r="K11" i="88"/>
  <c r="I11" i="88"/>
  <c r="G11" i="88"/>
  <c r="E11" i="88"/>
  <c r="C11" i="88"/>
  <c r="E10" i="88"/>
  <c r="M8" i="88"/>
  <c r="K8" i="88"/>
  <c r="E8" i="88"/>
  <c r="C8" i="88"/>
  <c r="C7" i="88"/>
  <c r="D5" i="88"/>
  <c r="D4" i="88"/>
  <c r="D2" i="88"/>
  <c r="E1" i="88"/>
  <c r="G30" i="87"/>
  <c r="C26" i="87"/>
  <c r="C23" i="87"/>
  <c r="C22" i="87"/>
  <c r="C21" i="87"/>
  <c r="C20" i="87"/>
  <c r="C19" i="87"/>
  <c r="C18" i="87"/>
  <c r="C17" i="87"/>
  <c r="C16" i="87"/>
  <c r="C15" i="87"/>
  <c r="C14" i="87"/>
  <c r="O11" i="87"/>
  <c r="M11" i="87"/>
  <c r="K11" i="87"/>
  <c r="I11" i="87"/>
  <c r="G11" i="87"/>
  <c r="E11" i="87"/>
  <c r="C11" i="87"/>
  <c r="E10" i="87"/>
  <c r="M8" i="87"/>
  <c r="K8" i="87"/>
  <c r="E8" i="87"/>
  <c r="C8" i="87"/>
  <c r="C7" i="87"/>
  <c r="D5" i="87"/>
  <c r="D4" i="87"/>
  <c r="D2" i="87"/>
  <c r="E1" i="87"/>
  <c r="G30" i="86"/>
  <c r="C26" i="86"/>
  <c r="C23" i="86"/>
  <c r="C22" i="86"/>
  <c r="C21" i="86"/>
  <c r="C20" i="86"/>
  <c r="C19" i="86"/>
  <c r="C18" i="86"/>
  <c r="C17" i="86"/>
  <c r="C16" i="86"/>
  <c r="C15" i="86"/>
  <c r="C14" i="86"/>
  <c r="O11" i="86"/>
  <c r="M11" i="86"/>
  <c r="K11" i="86"/>
  <c r="I11" i="86"/>
  <c r="G11" i="86"/>
  <c r="E11" i="86"/>
  <c r="C11" i="86"/>
  <c r="E10" i="86"/>
  <c r="M8" i="86"/>
  <c r="K8" i="86"/>
  <c r="E8" i="86"/>
  <c r="C8" i="86"/>
  <c r="C7" i="86"/>
  <c r="D5" i="86"/>
  <c r="D4" i="86"/>
  <c r="D2" i="86"/>
  <c r="E1" i="86"/>
  <c r="G30" i="85"/>
  <c r="C26" i="85"/>
  <c r="C23" i="85"/>
  <c r="C22" i="85"/>
  <c r="C21" i="85"/>
  <c r="C20" i="85"/>
  <c r="C19" i="85"/>
  <c r="C18" i="85"/>
  <c r="C17" i="85"/>
  <c r="C16" i="85"/>
  <c r="C15" i="85"/>
  <c r="C14" i="85"/>
  <c r="O11" i="85"/>
  <c r="M11" i="85"/>
  <c r="K11" i="85"/>
  <c r="I11" i="85"/>
  <c r="G11" i="85"/>
  <c r="E11" i="85"/>
  <c r="C11" i="85"/>
  <c r="E10" i="85"/>
  <c r="M8" i="85"/>
  <c r="K8" i="85"/>
  <c r="E8" i="85"/>
  <c r="C8" i="85"/>
  <c r="C7" i="85"/>
  <c r="D5" i="85"/>
  <c r="D4" i="85"/>
  <c r="D2" i="85"/>
  <c r="E1" i="85"/>
  <c r="G30" i="84"/>
  <c r="C26" i="84"/>
  <c r="C23" i="84"/>
  <c r="C22" i="84"/>
  <c r="C21" i="84"/>
  <c r="C20" i="84"/>
  <c r="C19" i="84"/>
  <c r="C18" i="84"/>
  <c r="C17" i="84"/>
  <c r="C16" i="84"/>
  <c r="C15" i="84"/>
  <c r="C14" i="84"/>
  <c r="O11" i="84"/>
  <c r="M11" i="84"/>
  <c r="K11" i="84"/>
  <c r="I11" i="84"/>
  <c r="G11" i="84"/>
  <c r="E11" i="84"/>
  <c r="C11" i="84"/>
  <c r="E10" i="84"/>
  <c r="M8" i="84"/>
  <c r="K8" i="84"/>
  <c r="E8" i="84"/>
  <c r="C8" i="84"/>
  <c r="C7" i="84"/>
  <c r="D5" i="84"/>
  <c r="D4" i="84"/>
  <c r="D2" i="84"/>
  <c r="E1" i="84"/>
  <c r="G30" i="83"/>
  <c r="C26" i="83"/>
  <c r="C23" i="83"/>
  <c r="C22" i="83"/>
  <c r="C21" i="83"/>
  <c r="C20" i="83"/>
  <c r="C19" i="83"/>
  <c r="C18" i="83"/>
  <c r="C17" i="83"/>
  <c r="C16" i="83"/>
  <c r="C15" i="83"/>
  <c r="C14" i="83"/>
  <c r="O11" i="83"/>
  <c r="M11" i="83"/>
  <c r="K11" i="83"/>
  <c r="I11" i="83"/>
  <c r="G11" i="83"/>
  <c r="E11" i="83"/>
  <c r="C11" i="83"/>
  <c r="E10" i="83"/>
  <c r="M8" i="83"/>
  <c r="K8" i="83"/>
  <c r="E8" i="83"/>
  <c r="C8" i="83"/>
  <c r="C7" i="83"/>
  <c r="D5" i="83"/>
  <c r="D4" i="83"/>
  <c r="D2" i="83"/>
  <c r="E1" i="83"/>
  <c r="G30" i="82"/>
  <c r="C26" i="82"/>
  <c r="C23" i="82"/>
  <c r="C22" i="82"/>
  <c r="C21" i="82"/>
  <c r="C20" i="82"/>
  <c r="C19" i="82"/>
  <c r="C18" i="82"/>
  <c r="C17" i="82"/>
  <c r="C16" i="82"/>
  <c r="C15" i="82"/>
  <c r="C14" i="82"/>
  <c r="O11" i="82"/>
  <c r="M11" i="82"/>
  <c r="K11" i="82"/>
  <c r="I11" i="82"/>
  <c r="G11" i="82"/>
  <c r="E11" i="82"/>
  <c r="C11" i="82"/>
  <c r="E10" i="82"/>
  <c r="M8" i="82"/>
  <c r="K8" i="82"/>
  <c r="E8" i="82"/>
  <c r="C8" i="82"/>
  <c r="C7" i="82"/>
  <c r="D5" i="82"/>
  <c r="D4" i="82"/>
  <c r="D2" i="82"/>
  <c r="E1" i="82"/>
  <c r="G30" i="81"/>
  <c r="C26" i="81"/>
  <c r="C23" i="81"/>
  <c r="C22" i="81"/>
  <c r="C21" i="81"/>
  <c r="C20" i="81"/>
  <c r="C19" i="81"/>
  <c r="C18" i="81"/>
  <c r="C17" i="81"/>
  <c r="C16" i="81"/>
  <c r="C15" i="81"/>
  <c r="C14" i="81"/>
  <c r="O11" i="81"/>
  <c r="M11" i="81"/>
  <c r="K11" i="81"/>
  <c r="I11" i="81"/>
  <c r="G11" i="81"/>
  <c r="E11" i="81"/>
  <c r="C11" i="81"/>
  <c r="E10" i="81"/>
  <c r="M8" i="81"/>
  <c r="K8" i="81"/>
  <c r="E8" i="81"/>
  <c r="C8" i="81"/>
  <c r="C7" i="81"/>
  <c r="D5" i="81"/>
  <c r="D4" i="81"/>
  <c r="D2" i="81"/>
  <c r="E1" i="81"/>
  <c r="G30" i="80"/>
  <c r="C26" i="80"/>
  <c r="C23" i="80"/>
  <c r="C22" i="80"/>
  <c r="C21" i="80"/>
  <c r="C20" i="80"/>
  <c r="C19" i="80"/>
  <c r="C18" i="80"/>
  <c r="C17" i="80"/>
  <c r="C16" i="80"/>
  <c r="C15" i="80"/>
  <c r="C14" i="80"/>
  <c r="O11" i="80"/>
  <c r="M11" i="80"/>
  <c r="K11" i="80"/>
  <c r="I11" i="80"/>
  <c r="G11" i="80"/>
  <c r="E11" i="80"/>
  <c r="C11" i="80"/>
  <c r="E10" i="80"/>
  <c r="M8" i="80"/>
  <c r="K8" i="80"/>
  <c r="E8" i="80"/>
  <c r="C8" i="80"/>
  <c r="C7" i="80"/>
  <c r="D5" i="80"/>
  <c r="D4" i="80"/>
  <c r="D2" i="80"/>
  <c r="E1" i="80"/>
  <c r="G30" i="79"/>
  <c r="C26" i="79"/>
  <c r="C23" i="79"/>
  <c r="C22" i="79"/>
  <c r="C21" i="79"/>
  <c r="C20" i="79"/>
  <c r="C19" i="79"/>
  <c r="C18" i="79"/>
  <c r="C17" i="79"/>
  <c r="C16" i="79"/>
  <c r="C15" i="79"/>
  <c r="C14" i="79"/>
  <c r="O11" i="79"/>
  <c r="M11" i="79"/>
  <c r="K11" i="79"/>
  <c r="I11" i="79"/>
  <c r="G11" i="79"/>
  <c r="E11" i="79"/>
  <c r="C11" i="79"/>
  <c r="E10" i="79"/>
  <c r="M8" i="79"/>
  <c r="K8" i="79"/>
  <c r="E8" i="79"/>
  <c r="C8" i="79"/>
  <c r="C7" i="79"/>
  <c r="D5" i="79"/>
  <c r="D4" i="79"/>
  <c r="D2" i="79"/>
  <c r="E1" i="79"/>
  <c r="G30" i="78"/>
  <c r="C26" i="78"/>
  <c r="C23" i="78"/>
  <c r="C22" i="78"/>
  <c r="C21" i="78"/>
  <c r="C20" i="78"/>
  <c r="C19" i="78"/>
  <c r="C18" i="78"/>
  <c r="C17" i="78"/>
  <c r="C16" i="78"/>
  <c r="C15" i="78"/>
  <c r="C14" i="78"/>
  <c r="O11" i="78"/>
  <c r="M11" i="78"/>
  <c r="K11" i="78"/>
  <c r="I11" i="78"/>
  <c r="G11" i="78"/>
  <c r="E11" i="78"/>
  <c r="C11" i="78"/>
  <c r="E10" i="78"/>
  <c r="M8" i="78"/>
  <c r="K8" i="78"/>
  <c r="E8" i="78"/>
  <c r="C8" i="78"/>
  <c r="C7" i="78"/>
  <c r="D5" i="78"/>
  <c r="D4" i="78"/>
  <c r="D2" i="78"/>
  <c r="E1" i="78"/>
  <c r="G30" i="77"/>
  <c r="C26" i="77"/>
  <c r="C23" i="77"/>
  <c r="C22" i="77"/>
  <c r="C21" i="77"/>
  <c r="C20" i="77"/>
  <c r="C19" i="77"/>
  <c r="C18" i="77"/>
  <c r="C17" i="77"/>
  <c r="C16" i="77"/>
  <c r="C15" i="77"/>
  <c r="C14" i="77"/>
  <c r="O11" i="77"/>
  <c r="M11" i="77"/>
  <c r="K11" i="77"/>
  <c r="I11" i="77"/>
  <c r="G11" i="77"/>
  <c r="E11" i="77"/>
  <c r="C11" i="77"/>
  <c r="E10" i="77"/>
  <c r="M8" i="77"/>
  <c r="K8" i="77"/>
  <c r="E8" i="77"/>
  <c r="C8" i="77"/>
  <c r="C7" i="77"/>
  <c r="D5" i="77"/>
  <c r="D4" i="77"/>
  <c r="D2" i="77"/>
  <c r="E1" i="77"/>
  <c r="G30" i="76"/>
  <c r="C26" i="76"/>
  <c r="C23" i="76"/>
  <c r="C22" i="76"/>
  <c r="C21" i="76"/>
  <c r="C20" i="76"/>
  <c r="C19" i="76"/>
  <c r="C18" i="76"/>
  <c r="C17" i="76"/>
  <c r="C16" i="76"/>
  <c r="C15" i="76"/>
  <c r="C14" i="76"/>
  <c r="O11" i="76"/>
  <c r="M11" i="76"/>
  <c r="K11" i="76"/>
  <c r="I11" i="76"/>
  <c r="G11" i="76"/>
  <c r="E11" i="76"/>
  <c r="C11" i="76"/>
  <c r="E10" i="76"/>
  <c r="M8" i="76"/>
  <c r="K8" i="76"/>
  <c r="E8" i="76"/>
  <c r="C8" i="76"/>
  <c r="C7" i="76"/>
  <c r="D5" i="76"/>
  <c r="D4" i="76"/>
  <c r="D2" i="76"/>
  <c r="E1" i="76"/>
  <c r="G30" i="75"/>
  <c r="C26" i="75"/>
  <c r="C23" i="75"/>
  <c r="C22" i="75"/>
  <c r="C21" i="75"/>
  <c r="C20" i="75"/>
  <c r="C19" i="75"/>
  <c r="C18" i="75"/>
  <c r="C17" i="75"/>
  <c r="C16" i="75"/>
  <c r="C15" i="75"/>
  <c r="C14" i="75"/>
  <c r="O11" i="75"/>
  <c r="M11" i="75"/>
  <c r="K11" i="75"/>
  <c r="I11" i="75"/>
  <c r="G11" i="75"/>
  <c r="E11" i="75"/>
  <c r="C11" i="75"/>
  <c r="E10" i="75"/>
  <c r="M8" i="75"/>
  <c r="K8" i="75"/>
  <c r="E8" i="75"/>
  <c r="C8" i="75"/>
  <c r="C7" i="75"/>
  <c r="D5" i="75"/>
  <c r="D4" i="75"/>
  <c r="D2" i="75"/>
  <c r="E1" i="75"/>
  <c r="G30" i="74"/>
  <c r="C26" i="74"/>
  <c r="C23" i="74"/>
  <c r="C22" i="74"/>
  <c r="C21" i="74"/>
  <c r="C20" i="74"/>
  <c r="C19" i="74"/>
  <c r="C18" i="74"/>
  <c r="C17" i="74"/>
  <c r="C16" i="74"/>
  <c r="C15" i="74"/>
  <c r="C14" i="74"/>
  <c r="O11" i="74"/>
  <c r="M11" i="74"/>
  <c r="K11" i="74"/>
  <c r="I11" i="74"/>
  <c r="G11" i="74"/>
  <c r="E11" i="74"/>
  <c r="C11" i="74"/>
  <c r="E10" i="74"/>
  <c r="M8" i="74"/>
  <c r="K8" i="74"/>
  <c r="E8" i="74"/>
  <c r="C8" i="74"/>
  <c r="C7" i="74"/>
  <c r="D5" i="74"/>
  <c r="D4" i="74"/>
  <c r="D2" i="74"/>
  <c r="E1" i="74"/>
  <c r="G24" i="80"/>
  <c r="J24" i="94"/>
  <c r="I24" i="84"/>
  <c r="E24" i="89"/>
  <c r="E24" i="91"/>
  <c r="J24" i="88"/>
  <c r="I24" i="81"/>
  <c r="F24" i="75"/>
  <c r="K24" i="78"/>
  <c r="G24" i="89"/>
  <c r="G24" i="93"/>
  <c r="I24" i="90"/>
  <c r="J24" i="87"/>
  <c r="E24" i="74"/>
  <c r="H24" i="78"/>
  <c r="K24" i="77"/>
  <c r="F24" i="88"/>
  <c r="H24" i="74"/>
  <c r="J24" i="85"/>
  <c r="E24" i="87"/>
  <c r="G24" i="75"/>
  <c r="F24" i="91"/>
  <c r="J24" i="86"/>
  <c r="G24" i="92"/>
  <c r="G24" i="77"/>
  <c r="F24" i="77"/>
  <c r="I24" i="78"/>
  <c r="I24" i="82"/>
  <c r="K24" i="92"/>
  <c r="H24" i="90"/>
  <c r="I24" i="92"/>
  <c r="H24" i="76"/>
  <c r="H24" i="92"/>
  <c r="I24" i="87"/>
  <c r="E24" i="82"/>
  <c r="H24" i="82"/>
  <c r="K24" i="94"/>
  <c r="G24" i="97"/>
  <c r="H24" i="93"/>
  <c r="E24" i="86"/>
  <c r="E24" i="92"/>
  <c r="K24" i="87"/>
  <c r="E24" i="78"/>
  <c r="H24" i="87"/>
  <c r="G24" i="90"/>
  <c r="I24" i="76"/>
  <c r="K16" i="79"/>
  <c r="K24" i="86"/>
  <c r="F24" i="83"/>
  <c r="G24" i="87"/>
  <c r="J24" i="76"/>
  <c r="E24" i="95"/>
  <c r="F24" i="89"/>
  <c r="E24" i="80"/>
  <c r="K24" i="85"/>
  <c r="F24" i="78"/>
  <c r="F24" i="90"/>
  <c r="E24" i="88"/>
  <c r="I24" i="94"/>
  <c r="J24" i="78"/>
  <c r="I24" i="91"/>
  <c r="J24" i="79"/>
  <c r="F24" i="81"/>
  <c r="F24" i="79"/>
  <c r="J24" i="93"/>
  <c r="K24" i="74"/>
  <c r="F24" i="76"/>
  <c r="E24" i="94"/>
  <c r="K24" i="93"/>
  <c r="I24" i="77"/>
  <c r="K24" i="84"/>
  <c r="I24" i="86"/>
  <c r="K24" i="88"/>
  <c r="G24" i="79"/>
  <c r="F24" i="80"/>
  <c r="H24" i="81"/>
  <c r="K24" i="75"/>
  <c r="H24" i="85"/>
  <c r="E24" i="93"/>
  <c r="H24" i="80"/>
  <c r="G24" i="84"/>
  <c r="E24" i="85"/>
  <c r="E24" i="97"/>
  <c r="I24" i="97"/>
  <c r="K24" i="89"/>
  <c r="H24" i="84"/>
  <c r="F24" i="93"/>
  <c r="J24" i="75"/>
  <c r="F24" i="86"/>
  <c r="G24" i="78"/>
  <c r="J24" i="90"/>
  <c r="H24" i="88"/>
  <c r="J24" i="97"/>
  <c r="J24" i="92"/>
  <c r="G24" i="94"/>
  <c r="K24" i="76"/>
  <c r="H24" i="86"/>
  <c r="E24" i="79"/>
  <c r="I24" i="89"/>
  <c r="G24" i="76"/>
  <c r="H24" i="75"/>
  <c r="J24" i="82"/>
  <c r="J24" i="91"/>
  <c r="J24" i="80"/>
  <c r="E24" i="75"/>
  <c r="K24" i="91"/>
  <c r="J24" i="81"/>
  <c r="G24" i="85"/>
  <c r="E24" i="83"/>
  <c r="F24" i="95"/>
  <c r="E24" i="76"/>
  <c r="J24" i="89"/>
  <c r="F24" i="82"/>
  <c r="K24" i="90"/>
  <c r="F24" i="85"/>
  <c r="J24" i="74"/>
  <c r="G24" i="95"/>
  <c r="K24" i="95"/>
  <c r="I24" i="85"/>
  <c r="H24" i="89"/>
  <c r="F24" i="74"/>
  <c r="J24" i="83"/>
  <c r="G24" i="74"/>
  <c r="E24" i="77"/>
  <c r="I24" i="95"/>
  <c r="F24" i="94"/>
  <c r="H24" i="77"/>
  <c r="J24" i="84"/>
  <c r="H24" i="91"/>
  <c r="G24" i="86"/>
  <c r="H24" i="83"/>
  <c r="G24" i="82"/>
  <c r="H24" i="97"/>
  <c r="K24" i="82"/>
  <c r="H24" i="79"/>
  <c r="I24" i="75"/>
  <c r="F24" i="84"/>
  <c r="I24" i="93"/>
  <c r="E24" i="84"/>
  <c r="H24" i="95"/>
  <c r="J24" i="77"/>
  <c r="F24" i="87"/>
  <c r="G24" i="81"/>
  <c r="E24" i="81"/>
  <c r="J24" i="95"/>
  <c r="F24" i="97"/>
  <c r="F24" i="92"/>
  <c r="K24" i="97"/>
  <c r="H24" i="94"/>
  <c r="E24" i="90"/>
  <c r="K24" i="81"/>
  <c r="G24" i="91"/>
  <c r="I24" i="74"/>
  <c r="M24" i="85" l="1"/>
  <c r="Z16" i="42" s="1"/>
  <c r="J26" i="97"/>
  <c r="H26" i="97"/>
  <c r="F26" i="97"/>
  <c r="M24" i="97"/>
  <c r="Z28" i="42" s="1"/>
  <c r="J26" i="95"/>
  <c r="H26" i="95"/>
  <c r="F26" i="95"/>
  <c r="M24" i="95"/>
  <c r="Z26" i="42" s="1"/>
  <c r="J26" i="94"/>
  <c r="H26" i="94"/>
  <c r="F26" i="94"/>
  <c r="M24" i="94"/>
  <c r="J26" i="93"/>
  <c r="H26" i="93"/>
  <c r="F26" i="93"/>
  <c r="M24" i="93"/>
  <c r="J26" i="92"/>
  <c r="H26" i="92"/>
  <c r="F26" i="92"/>
  <c r="M24" i="92"/>
  <c r="J26" i="91"/>
  <c r="H26" i="91"/>
  <c r="F26" i="91"/>
  <c r="M24" i="91"/>
  <c r="J26" i="90"/>
  <c r="H26" i="90"/>
  <c r="F26" i="90"/>
  <c r="M24" i="90"/>
  <c r="J26" i="89"/>
  <c r="H26" i="89"/>
  <c r="F26" i="89"/>
  <c r="M24" i="89"/>
  <c r="J26" i="88"/>
  <c r="H26" i="88"/>
  <c r="F26" i="88"/>
  <c r="M24" i="88"/>
  <c r="J26" i="87"/>
  <c r="H26" i="87"/>
  <c r="F26" i="87"/>
  <c r="M24" i="87"/>
  <c r="J26" i="86"/>
  <c r="H26" i="86"/>
  <c r="F26" i="86"/>
  <c r="M24" i="86"/>
  <c r="J26" i="85"/>
  <c r="H26" i="85"/>
  <c r="F26" i="85"/>
  <c r="O24" i="85"/>
  <c r="J26" i="84"/>
  <c r="H26" i="84"/>
  <c r="F26" i="84"/>
  <c r="M24" i="84"/>
  <c r="J26" i="83"/>
  <c r="H26" i="83"/>
  <c r="F26" i="83"/>
  <c r="M24" i="83"/>
  <c r="J26" i="82"/>
  <c r="H26" i="82"/>
  <c r="F26" i="82"/>
  <c r="M24" i="82"/>
  <c r="J26" i="81"/>
  <c r="H26" i="81"/>
  <c r="F26" i="81"/>
  <c r="M24" i="81"/>
  <c r="J26" i="80"/>
  <c r="H26" i="80"/>
  <c r="F26" i="80"/>
  <c r="M24" i="80"/>
  <c r="J26" i="79"/>
  <c r="H26" i="79"/>
  <c r="F26" i="79"/>
  <c r="M24" i="79"/>
  <c r="J26" i="78"/>
  <c r="H26" i="78"/>
  <c r="F26" i="78"/>
  <c r="M24" i="78"/>
  <c r="H26" i="77"/>
  <c r="J26" i="77"/>
  <c r="F26" i="77"/>
  <c r="M24" i="77"/>
  <c r="Z8" i="42" s="1"/>
  <c r="J26" i="76"/>
  <c r="H26" i="76"/>
  <c r="F26" i="76"/>
  <c r="M24" i="76"/>
  <c r="Z7" i="42" s="1"/>
  <c r="J26" i="75"/>
  <c r="H26" i="75"/>
  <c r="F26" i="75"/>
  <c r="M24" i="75"/>
  <c r="J26" i="74"/>
  <c r="H26" i="74"/>
  <c r="F26" i="74"/>
  <c r="M24" i="74"/>
  <c r="M24" i="98"/>
  <c r="O24" i="98" s="1"/>
  <c r="M26" i="10"/>
  <c r="M27" i="10"/>
  <c r="M28" i="10"/>
  <c r="O24" i="96" l="1"/>
  <c r="Z27" i="42"/>
  <c r="O24" i="97"/>
  <c r="O24" i="95"/>
  <c r="O24" i="94"/>
  <c r="Z25" i="42"/>
  <c r="O24" i="93"/>
  <c r="Z24" i="42"/>
  <c r="O24" i="92"/>
  <c r="Z23" i="42"/>
  <c r="O24" i="91"/>
  <c r="Z22" i="42"/>
  <c r="O24" i="90"/>
  <c r="Z21" i="42"/>
  <c r="O24" i="89"/>
  <c r="Z20" i="42"/>
  <c r="O24" i="88"/>
  <c r="Z19" i="42"/>
  <c r="O24" i="87"/>
  <c r="Z18" i="42"/>
  <c r="O24" i="86"/>
  <c r="Z17" i="42"/>
  <c r="O24" i="84"/>
  <c r="Z15" i="42"/>
  <c r="O24" i="83"/>
  <c r="Z14" i="42"/>
  <c r="O24" i="82"/>
  <c r="Z13" i="42"/>
  <c r="O24" i="81"/>
  <c r="Z12" i="42"/>
  <c r="O24" i="80"/>
  <c r="Z11" i="42"/>
  <c r="O24" i="79"/>
  <c r="Z10" i="42"/>
  <c r="O24" i="78"/>
  <c r="Z9" i="42"/>
  <c r="O24" i="77"/>
  <c r="O24" i="75"/>
  <c r="Z6" i="42"/>
  <c r="O24" i="74"/>
  <c r="Z5" i="42"/>
  <c r="O24" i="76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16" i="37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14" i="10"/>
  <c r="AH2" i="42"/>
  <c r="AF2" i="42"/>
  <c r="AD2" i="42"/>
  <c r="AB2" i="42"/>
  <c r="Z2" i="42"/>
  <c r="X2" i="42"/>
  <c r="V2" i="42"/>
  <c r="T2" i="42"/>
  <c r="R2" i="42"/>
  <c r="P2" i="42"/>
  <c r="N2" i="42"/>
  <c r="L2" i="42"/>
  <c r="J2" i="42"/>
  <c r="H2" i="42"/>
  <c r="F2" i="42"/>
  <c r="AH2" i="73"/>
  <c r="AF2" i="73"/>
  <c r="AD2" i="73"/>
  <c r="AB2" i="73"/>
  <c r="Z2" i="73"/>
  <c r="X2" i="73"/>
  <c r="V2" i="73"/>
  <c r="T2" i="73"/>
  <c r="R2" i="73"/>
  <c r="P2" i="73"/>
  <c r="N2" i="73"/>
  <c r="L2" i="73"/>
  <c r="J2" i="73"/>
  <c r="H2" i="73"/>
  <c r="F2" i="73"/>
  <c r="AH2" i="72"/>
  <c r="AF2" i="72"/>
  <c r="AD2" i="72"/>
  <c r="AB2" i="72"/>
  <c r="Z2" i="72"/>
  <c r="X2" i="72"/>
  <c r="V2" i="72"/>
  <c r="T2" i="72"/>
  <c r="R2" i="72"/>
  <c r="P2" i="72"/>
  <c r="N2" i="72"/>
  <c r="L2" i="72"/>
  <c r="J2" i="72"/>
  <c r="H2" i="72"/>
  <c r="F2" i="72"/>
  <c r="AH2" i="71"/>
  <c r="AF2" i="71"/>
  <c r="AD2" i="71"/>
  <c r="AB2" i="71"/>
  <c r="Z2" i="71"/>
  <c r="X2" i="71"/>
  <c r="V2" i="71"/>
  <c r="T2" i="71"/>
  <c r="R2" i="71"/>
  <c r="P2" i="71"/>
  <c r="N2" i="71"/>
  <c r="L2" i="71"/>
  <c r="J2" i="71"/>
  <c r="H2" i="71"/>
  <c r="F2" i="71"/>
  <c r="AH2" i="6"/>
  <c r="AF2" i="6"/>
  <c r="AD2" i="6"/>
  <c r="AB2" i="6"/>
  <c r="Z2" i="6"/>
  <c r="X2" i="6"/>
  <c r="V2" i="6"/>
  <c r="T2" i="6"/>
  <c r="R2" i="6"/>
  <c r="P2" i="6"/>
  <c r="N2" i="6"/>
  <c r="L2" i="6"/>
  <c r="J2" i="6"/>
  <c r="H2" i="6"/>
  <c r="F2" i="6"/>
  <c r="Z37" i="42"/>
  <c r="Z38" i="42"/>
  <c r="Z39" i="42"/>
  <c r="F37" i="42"/>
  <c r="F38" i="42"/>
  <c r="F39" i="42"/>
  <c r="H37" i="42"/>
  <c r="H38" i="42"/>
  <c r="H39" i="42"/>
  <c r="J32" i="42"/>
  <c r="J37" i="42"/>
  <c r="J38" i="42"/>
  <c r="J39" i="42"/>
  <c r="L37" i="42"/>
  <c r="L38" i="42"/>
  <c r="L39" i="42"/>
  <c r="N36" i="42"/>
  <c r="N37" i="42"/>
  <c r="N38" i="42"/>
  <c r="N39" i="42"/>
  <c r="P37" i="42"/>
  <c r="P38" i="42"/>
  <c r="P39" i="42"/>
  <c r="R37" i="42"/>
  <c r="R38" i="42"/>
  <c r="R39" i="42"/>
  <c r="T32" i="42"/>
  <c r="T37" i="42"/>
  <c r="T38" i="42"/>
  <c r="T39" i="42"/>
  <c r="V35" i="42"/>
  <c r="V37" i="42"/>
  <c r="V38" i="42"/>
  <c r="V39" i="42"/>
  <c r="X32" i="42"/>
  <c r="X35" i="42"/>
  <c r="X37" i="42"/>
  <c r="X38" i="42"/>
  <c r="X39" i="42"/>
  <c r="AB37" i="42"/>
  <c r="AB38" i="42"/>
  <c r="AB39" i="42"/>
  <c r="AD35" i="42"/>
  <c r="AD37" i="42"/>
  <c r="AD38" i="42"/>
  <c r="AD39" i="42"/>
  <c r="AF37" i="42"/>
  <c r="AF38" i="42"/>
  <c r="AF39" i="42"/>
  <c r="AH36" i="42"/>
  <c r="AH37" i="42"/>
  <c r="AH38" i="42"/>
  <c r="AH39" i="42"/>
  <c r="AL37" i="42"/>
  <c r="AL38" i="42"/>
  <c r="AL39" i="42"/>
  <c r="D39" i="42"/>
  <c r="D38" i="42"/>
  <c r="D37" i="42"/>
  <c r="D36" i="42"/>
  <c r="F36" i="42" s="1"/>
  <c r="D35" i="42"/>
  <c r="L35" i="42" s="1"/>
  <c r="D34" i="42"/>
  <c r="J34" i="42" s="1"/>
  <c r="D33" i="42"/>
  <c r="P33" i="42" s="1"/>
  <c r="D32" i="42"/>
  <c r="AF32" i="42" s="1"/>
  <c r="D31" i="42"/>
  <c r="D30" i="42"/>
  <c r="D29" i="42"/>
  <c r="D28" i="42"/>
  <c r="D27" i="42"/>
  <c r="AD27" i="42" s="1"/>
  <c r="D26" i="42"/>
  <c r="D25" i="42"/>
  <c r="D24" i="42"/>
  <c r="D23" i="42"/>
  <c r="D22" i="42"/>
  <c r="D21" i="42"/>
  <c r="D20" i="42"/>
  <c r="D19" i="42"/>
  <c r="D18" i="42"/>
  <c r="D17" i="42"/>
  <c r="D16" i="42"/>
  <c r="D15" i="42"/>
  <c r="D14" i="42"/>
  <c r="D13" i="42"/>
  <c r="AD13" i="42" s="1"/>
  <c r="D12" i="42"/>
  <c r="D11" i="42"/>
  <c r="D10" i="42"/>
  <c r="D9" i="42"/>
  <c r="D8" i="42"/>
  <c r="D7" i="42"/>
  <c r="D6" i="42"/>
  <c r="D5" i="42"/>
  <c r="D39" i="73"/>
  <c r="D38" i="73"/>
  <c r="D37" i="73"/>
  <c r="D36" i="73"/>
  <c r="D35" i="73"/>
  <c r="D34" i="73"/>
  <c r="D33" i="73"/>
  <c r="D32" i="73"/>
  <c r="D31" i="73"/>
  <c r="D30" i="73"/>
  <c r="D29" i="73"/>
  <c r="D28" i="73"/>
  <c r="D27" i="73"/>
  <c r="D26" i="73"/>
  <c r="D25" i="73"/>
  <c r="D24" i="73"/>
  <c r="D23" i="73"/>
  <c r="D22" i="73"/>
  <c r="D21" i="73"/>
  <c r="D20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D7" i="73"/>
  <c r="D6" i="73"/>
  <c r="D5" i="73"/>
  <c r="D39" i="72"/>
  <c r="D38" i="72"/>
  <c r="D37" i="72"/>
  <c r="D36" i="72"/>
  <c r="D35" i="72"/>
  <c r="D34" i="72"/>
  <c r="D33" i="72"/>
  <c r="D32" i="72"/>
  <c r="D31" i="72"/>
  <c r="D30" i="72"/>
  <c r="D29" i="72"/>
  <c r="D28" i="72"/>
  <c r="D27" i="72"/>
  <c r="D26" i="72"/>
  <c r="D25" i="72"/>
  <c r="D24" i="72"/>
  <c r="D23" i="72"/>
  <c r="D22" i="72"/>
  <c r="D21" i="72"/>
  <c r="D20" i="72"/>
  <c r="D19" i="72"/>
  <c r="D18" i="72"/>
  <c r="D17" i="72"/>
  <c r="D16" i="72"/>
  <c r="D15" i="72"/>
  <c r="D14" i="72"/>
  <c r="D13" i="72"/>
  <c r="D12" i="72"/>
  <c r="D11" i="72"/>
  <c r="D10" i="72"/>
  <c r="D9" i="72"/>
  <c r="D8" i="72"/>
  <c r="D7" i="72"/>
  <c r="D6" i="72"/>
  <c r="D5" i="72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3" i="6"/>
  <c r="D34" i="6"/>
  <c r="D35" i="6"/>
  <c r="D36" i="6"/>
  <c r="D37" i="6"/>
  <c r="D38" i="6"/>
  <c r="D39" i="6"/>
  <c r="E1" i="10"/>
  <c r="E8" i="10"/>
  <c r="C12" i="37"/>
  <c r="D2" i="42"/>
  <c r="D2" i="73"/>
  <c r="D2" i="72"/>
  <c r="D2" i="71"/>
  <c r="D2" i="6"/>
  <c r="D5" i="71"/>
  <c r="D5" i="6"/>
  <c r="AD29" i="42" l="1"/>
  <c r="AF13" i="42"/>
  <c r="AH12" i="42"/>
  <c r="AH8" i="42"/>
  <c r="AF21" i="42"/>
  <c r="AD21" i="42"/>
  <c r="AF24" i="42"/>
  <c r="AH24" i="42"/>
  <c r="AF17" i="42"/>
  <c r="AD16" i="42"/>
  <c r="AH35" i="42"/>
  <c r="AF35" i="42"/>
  <c r="AD34" i="42"/>
  <c r="H35" i="42"/>
  <c r="AH32" i="42"/>
  <c r="AH19" i="42"/>
  <c r="AF34" i="42"/>
  <c r="AD32" i="42"/>
  <c r="AD8" i="42"/>
  <c r="AB36" i="42"/>
  <c r="T36" i="42"/>
  <c r="R36" i="42"/>
  <c r="N35" i="42"/>
  <c r="H32" i="42"/>
  <c r="F32" i="42"/>
  <c r="AH30" i="42"/>
  <c r="AD30" i="42"/>
  <c r="AH31" i="42"/>
  <c r="AH16" i="42"/>
  <c r="AF31" i="42"/>
  <c r="AF19" i="42"/>
  <c r="AF8" i="42"/>
  <c r="AD36" i="42"/>
  <c r="AD31" i="42"/>
  <c r="AD18" i="42"/>
  <c r="AB32" i="42"/>
  <c r="X36" i="42"/>
  <c r="V36" i="42"/>
  <c r="T35" i="42"/>
  <c r="R35" i="42"/>
  <c r="N32" i="42"/>
  <c r="L34" i="42"/>
  <c r="AF18" i="42"/>
  <c r="R34" i="42"/>
  <c r="L32" i="42"/>
  <c r="J36" i="42"/>
  <c r="H36" i="42"/>
  <c r="AL36" i="42" s="1"/>
  <c r="AF36" i="42"/>
  <c r="P36" i="42"/>
  <c r="L36" i="42"/>
  <c r="Z36" i="42"/>
  <c r="P35" i="42"/>
  <c r="J35" i="42"/>
  <c r="F35" i="42"/>
  <c r="Z35" i="42"/>
  <c r="AL35" i="42" s="1"/>
  <c r="AB35" i="42"/>
  <c r="X34" i="42"/>
  <c r="P34" i="42"/>
  <c r="N34" i="42"/>
  <c r="F34" i="42"/>
  <c r="AL34" i="42" s="1"/>
  <c r="AH34" i="42"/>
  <c r="AB34" i="42"/>
  <c r="V34" i="42"/>
  <c r="T34" i="42"/>
  <c r="H34" i="42"/>
  <c r="Z34" i="42"/>
  <c r="R33" i="42"/>
  <c r="N33" i="42"/>
  <c r="L33" i="42"/>
  <c r="J33" i="42"/>
  <c r="H33" i="42"/>
  <c r="AL33" i="42" s="1"/>
  <c r="F33" i="42"/>
  <c r="V33" i="42"/>
  <c r="T33" i="42"/>
  <c r="Z33" i="42"/>
  <c r="AH33" i="42"/>
  <c r="AF33" i="42"/>
  <c r="AD33" i="42"/>
  <c r="AB33" i="42"/>
  <c r="X33" i="42"/>
  <c r="V32" i="42"/>
  <c r="R32" i="42"/>
  <c r="P32" i="42"/>
  <c r="Z32" i="42"/>
  <c r="AF30" i="42"/>
  <c r="AH29" i="42"/>
  <c r="AF29" i="42"/>
  <c r="AH28" i="42"/>
  <c r="AF28" i="42"/>
  <c r="AD28" i="42"/>
  <c r="AH27" i="42"/>
  <c r="AF27" i="42"/>
  <c r="AF26" i="42"/>
  <c r="AH26" i="42"/>
  <c r="AD26" i="42"/>
  <c r="AF25" i="42"/>
  <c r="AH25" i="42"/>
  <c r="AD24" i="42"/>
  <c r="AH23" i="42"/>
  <c r="AD23" i="42"/>
  <c r="AH22" i="42"/>
  <c r="AF22" i="42"/>
  <c r="AD22" i="42"/>
  <c r="AH21" i="42"/>
  <c r="AD20" i="42"/>
  <c r="AH20" i="42"/>
  <c r="AF20" i="42"/>
  <c r="AD19" i="42"/>
  <c r="AH18" i="42"/>
  <c r="AD17" i="42"/>
  <c r="AH17" i="42"/>
  <c r="AF16" i="42"/>
  <c r="AD15" i="42"/>
  <c r="AF15" i="42"/>
  <c r="AH15" i="42"/>
  <c r="AH14" i="42"/>
  <c r="AF14" i="42"/>
  <c r="AD14" i="42"/>
  <c r="AH13" i="42"/>
  <c r="AF12" i="42"/>
  <c r="AD12" i="42"/>
  <c r="AH11" i="42"/>
  <c r="AD11" i="42"/>
  <c r="AF11" i="42"/>
  <c r="AH10" i="42"/>
  <c r="AD10" i="42"/>
  <c r="AF10" i="42"/>
  <c r="AH9" i="42"/>
  <c r="AF9" i="42"/>
  <c r="AD9" i="42"/>
  <c r="AD7" i="42"/>
  <c r="AH7" i="42"/>
  <c r="AF7" i="42"/>
  <c r="AF6" i="42"/>
  <c r="AF5" i="42"/>
  <c r="AH6" i="42"/>
  <c r="AD6" i="42"/>
  <c r="AH5" i="42"/>
  <c r="AD5" i="42"/>
  <c r="G43" i="37"/>
  <c r="G44" i="37"/>
  <c r="G45" i="37"/>
  <c r="G46" i="37"/>
  <c r="G47" i="37"/>
  <c r="G48" i="37"/>
  <c r="G49" i="37"/>
  <c r="G50" i="37"/>
  <c r="AL32" i="42" l="1"/>
  <c r="AJ2" i="73"/>
  <c r="AJ2" i="72"/>
  <c r="AJ2" i="71"/>
  <c r="M25" i="100" l="1"/>
  <c r="M25" i="101"/>
  <c r="O25" i="101" s="1"/>
  <c r="M25" i="102"/>
  <c r="O25" i="102" s="1"/>
  <c r="M25" i="103"/>
  <c r="O25" i="103" s="1"/>
  <c r="M25" i="10"/>
  <c r="M25" i="99"/>
  <c r="O25" i="100"/>
  <c r="O26" i="10"/>
  <c r="O27" i="10"/>
  <c r="B7" i="37"/>
  <c r="B6" i="37"/>
  <c r="K29" i="10"/>
  <c r="I29" i="10"/>
  <c r="G29" i="10"/>
  <c r="E29" i="10"/>
  <c r="AJ39" i="42"/>
  <c r="AJ29" i="42"/>
  <c r="AJ28" i="42"/>
  <c r="AJ27" i="42"/>
  <c r="AJ26" i="42"/>
  <c r="AJ25" i="42"/>
  <c r="AJ24" i="42"/>
  <c r="AJ23" i="42"/>
  <c r="AJ22" i="42"/>
  <c r="AJ21" i="42"/>
  <c r="AJ20" i="42"/>
  <c r="AJ19" i="42"/>
  <c r="AJ18" i="42"/>
  <c r="AJ17" i="42"/>
  <c r="AJ16" i="42"/>
  <c r="AJ15" i="42"/>
  <c r="AJ14" i="42"/>
  <c r="AJ13" i="42"/>
  <c r="AJ12" i="42"/>
  <c r="AJ11" i="42"/>
  <c r="AJ10" i="42"/>
  <c r="AJ9" i="42"/>
  <c r="AJ8" i="42"/>
  <c r="AJ7" i="42"/>
  <c r="AJ6" i="42"/>
  <c r="AJ5" i="42"/>
  <c r="D2" i="10"/>
  <c r="D4" i="10"/>
  <c r="D5" i="10"/>
  <c r="C7" i="10"/>
  <c r="C8" i="10"/>
  <c r="K8" i="10"/>
  <c r="M8" i="10"/>
  <c r="E10" i="10"/>
  <c r="C11" i="10"/>
  <c r="E11" i="10"/>
  <c r="G11" i="10"/>
  <c r="I11" i="10"/>
  <c r="K11" i="10"/>
  <c r="M11" i="10"/>
  <c r="O11" i="10"/>
  <c r="C29" i="10"/>
  <c r="C31" i="10"/>
  <c r="G35" i="10"/>
  <c r="AJ2" i="42"/>
  <c r="B10" i="37"/>
  <c r="AJ2" i="6"/>
  <c r="O25" i="99" l="1"/>
  <c r="AL31" i="42"/>
  <c r="AL30" i="42"/>
  <c r="O25" i="10"/>
  <c r="O28" i="10"/>
  <c r="M29" i="10"/>
  <c r="O29" i="10" s="1"/>
  <c r="O19" i="88" l="1"/>
  <c r="O18" i="76"/>
  <c r="G41" i="37" l="1"/>
  <c r="G42" i="37"/>
  <c r="G18" i="86"/>
  <c r="I15" i="75"/>
  <c r="G20" i="89"/>
  <c r="K21" i="85"/>
  <c r="I23" i="93"/>
  <c r="I17" i="87"/>
  <c r="K17" i="102"/>
  <c r="G25" i="102"/>
  <c r="I20" i="74"/>
  <c r="K16" i="76"/>
  <c r="I22" i="82"/>
  <c r="E14" i="95"/>
  <c r="E17" i="79"/>
  <c r="I19" i="92"/>
  <c r="E27" i="103"/>
  <c r="G23" i="96"/>
  <c r="I24" i="101"/>
  <c r="K16" i="78"/>
  <c r="E14" i="80"/>
  <c r="I16" i="102"/>
  <c r="G20" i="80"/>
  <c r="G15" i="75"/>
  <c r="E21" i="99"/>
  <c r="G17" i="84"/>
  <c r="I19" i="86"/>
  <c r="G14" i="94"/>
  <c r="K24" i="100"/>
  <c r="G17" i="97"/>
  <c r="I26" i="10"/>
  <c r="G20" i="10"/>
  <c r="K24" i="102"/>
  <c r="K22" i="95"/>
  <c r="I18" i="80"/>
  <c r="G22" i="89"/>
  <c r="K18" i="78"/>
  <c r="G23" i="80"/>
  <c r="E17" i="100"/>
  <c r="K18" i="83"/>
  <c r="K19" i="89"/>
  <c r="E14" i="100"/>
  <c r="E20" i="103"/>
  <c r="I15" i="82"/>
  <c r="E20" i="95"/>
  <c r="G23" i="86"/>
  <c r="G20" i="101"/>
  <c r="E22" i="82"/>
  <c r="E15" i="82"/>
  <c r="G17" i="100"/>
  <c r="I21" i="101"/>
  <c r="E15" i="85"/>
  <c r="G14" i="89"/>
  <c r="K16" i="75"/>
  <c r="E23" i="78"/>
  <c r="K17" i="88"/>
  <c r="I17" i="99"/>
  <c r="E14" i="86"/>
  <c r="E20" i="100"/>
  <c r="K14" i="95"/>
  <c r="I14" i="101"/>
  <c r="K16" i="82"/>
  <c r="G15" i="82"/>
  <c r="K22" i="81"/>
  <c r="K20" i="95"/>
  <c r="I15" i="96"/>
  <c r="E7" i="98"/>
  <c r="E14" i="79"/>
  <c r="E18" i="87"/>
  <c r="G20" i="94"/>
  <c r="E15" i="80"/>
  <c r="G16" i="91"/>
  <c r="K18" i="81"/>
  <c r="K16" i="91"/>
  <c r="I22" i="91"/>
  <c r="E15" i="92"/>
  <c r="I15" i="99"/>
  <c r="G14" i="78"/>
  <c r="E17" i="81"/>
  <c r="G20" i="91"/>
  <c r="E7" i="82"/>
  <c r="E18" i="74"/>
  <c r="I16" i="10"/>
  <c r="I19" i="95"/>
  <c r="E19" i="81"/>
  <c r="K18" i="74"/>
  <c r="K15" i="84"/>
  <c r="E19" i="96"/>
  <c r="G15" i="80"/>
  <c r="K28" i="10"/>
  <c r="K22" i="93"/>
  <c r="I14" i="94"/>
  <c r="G17" i="79"/>
  <c r="G16" i="88"/>
  <c r="G23" i="79"/>
  <c r="E18" i="86"/>
  <c r="I21" i="87"/>
  <c r="K15" i="97"/>
  <c r="E7" i="87"/>
  <c r="G16" i="78"/>
  <c r="E16" i="103"/>
  <c r="E15" i="94"/>
  <c r="E23" i="77"/>
  <c r="E28" i="99"/>
  <c r="K19" i="82"/>
  <c r="K20" i="101"/>
  <c r="G15" i="87"/>
  <c r="G16" i="94"/>
  <c r="G18" i="93"/>
  <c r="E20" i="76"/>
  <c r="G20" i="85"/>
  <c r="I22" i="95"/>
  <c r="G22" i="100"/>
  <c r="I21" i="94"/>
  <c r="K16" i="99"/>
  <c r="I17" i="85"/>
  <c r="G19" i="81"/>
  <c r="E20" i="81"/>
  <c r="K19" i="94"/>
  <c r="I21" i="84"/>
  <c r="K14" i="90"/>
  <c r="I17" i="81"/>
  <c r="G26" i="103"/>
  <c r="I19" i="77"/>
  <c r="E17" i="97"/>
  <c r="G19" i="99"/>
  <c r="E23" i="101"/>
  <c r="E23" i="86"/>
  <c r="E18" i="79"/>
  <c r="E17" i="103"/>
  <c r="E17" i="94"/>
  <c r="K17" i="95"/>
  <c r="I28" i="10"/>
  <c r="K18" i="77"/>
  <c r="K28" i="101"/>
  <c r="G23" i="94"/>
  <c r="I23" i="76"/>
  <c r="I17" i="88"/>
  <c r="I14" i="89"/>
  <c r="E21" i="10"/>
  <c r="I16" i="93"/>
  <c r="E20" i="94"/>
  <c r="K16" i="86"/>
  <c r="I20" i="99"/>
  <c r="K15" i="88"/>
  <c r="K22" i="94"/>
  <c r="E17" i="74"/>
  <c r="K20" i="92"/>
  <c r="E22" i="96"/>
  <c r="K18" i="100"/>
  <c r="G16" i="10"/>
  <c r="E20" i="10"/>
  <c r="I18" i="102"/>
  <c r="I15" i="103"/>
  <c r="I19" i="94"/>
  <c r="G16" i="76"/>
  <c r="I17" i="89"/>
  <c r="I18" i="101"/>
  <c r="K20" i="88"/>
  <c r="K22" i="97"/>
  <c r="G14" i="85"/>
  <c r="E7" i="75"/>
  <c r="K15" i="95"/>
  <c r="E21" i="86"/>
  <c r="E24" i="100"/>
  <c r="K20" i="89"/>
  <c r="I22" i="85"/>
  <c r="K18" i="103"/>
  <c r="G22" i="90"/>
  <c r="G15" i="89"/>
  <c r="K17" i="86"/>
  <c r="I25" i="99"/>
  <c r="G17" i="99"/>
  <c r="E21" i="76"/>
  <c r="G14" i="92"/>
  <c r="I26" i="100"/>
  <c r="K20" i="77"/>
  <c r="K24" i="103"/>
  <c r="K21" i="76"/>
  <c r="G24" i="99"/>
  <c r="K23" i="76"/>
  <c r="K15" i="93"/>
  <c r="K23" i="85"/>
  <c r="I23" i="78"/>
  <c r="K15" i="103"/>
  <c r="G16" i="98"/>
  <c r="K17" i="85"/>
  <c r="G15" i="96"/>
  <c r="G21" i="98"/>
  <c r="I27" i="100"/>
  <c r="I18" i="88"/>
  <c r="E22" i="94"/>
  <c r="G21" i="80"/>
  <c r="I20" i="93"/>
  <c r="G17" i="98"/>
  <c r="K25" i="100"/>
  <c r="G19" i="95"/>
  <c r="K15" i="102"/>
  <c r="I18" i="87"/>
  <c r="K19" i="77"/>
  <c r="E18" i="99"/>
  <c r="K19" i="90"/>
  <c r="K22" i="88"/>
  <c r="G14" i="100"/>
  <c r="E17" i="87"/>
  <c r="G23" i="93"/>
  <c r="G20" i="79"/>
  <c r="I23" i="81"/>
  <c r="I23" i="86"/>
  <c r="G16" i="84"/>
  <c r="G14" i="80"/>
  <c r="I21" i="99"/>
  <c r="G18" i="89"/>
  <c r="K23" i="95"/>
  <c r="I17" i="83"/>
  <c r="I23" i="10"/>
  <c r="E21" i="98"/>
  <c r="I14" i="87"/>
  <c r="I20" i="81"/>
  <c r="I22" i="86"/>
  <c r="I18" i="89"/>
  <c r="K22" i="99"/>
  <c r="K23" i="88"/>
  <c r="E22" i="10"/>
  <c r="G21" i="95"/>
  <c r="G16" i="97"/>
  <c r="K23" i="84"/>
  <c r="E26" i="101"/>
  <c r="G23" i="84"/>
  <c r="E24" i="103"/>
  <c r="E7" i="88"/>
  <c r="K19" i="87"/>
  <c r="K21" i="103"/>
  <c r="E21" i="77"/>
  <c r="E28" i="10"/>
  <c r="K21" i="83"/>
  <c r="K14" i="102"/>
  <c r="E7" i="81"/>
  <c r="G19" i="87"/>
  <c r="I18" i="85"/>
  <c r="K18" i="93"/>
  <c r="K28" i="103"/>
  <c r="E14" i="74"/>
  <c r="E22" i="76"/>
  <c r="I23" i="92"/>
  <c r="G21" i="93"/>
  <c r="K22" i="84"/>
  <c r="G20" i="100"/>
  <c r="G26" i="102"/>
  <c r="E18" i="84"/>
  <c r="K15" i="82"/>
  <c r="G17" i="74"/>
  <c r="E14" i="96"/>
  <c r="E16" i="97"/>
  <c r="I16" i="99"/>
  <c r="E20" i="96"/>
  <c r="E22" i="78"/>
  <c r="K18" i="102"/>
  <c r="I20" i="10"/>
  <c r="K14" i="91"/>
  <c r="G14" i="74"/>
  <c r="E19" i="94"/>
  <c r="K28" i="100"/>
  <c r="E15" i="102"/>
  <c r="K17" i="83"/>
  <c r="I14" i="90"/>
  <c r="I16" i="81"/>
  <c r="I23" i="98"/>
  <c r="E22" i="83"/>
  <c r="K17" i="92"/>
  <c r="G18" i="87"/>
  <c r="K16" i="90"/>
  <c r="E14" i="97"/>
  <c r="G21" i="84"/>
  <c r="G20" i="96"/>
  <c r="E21" i="89"/>
  <c r="E14" i="99"/>
  <c r="I17" i="74"/>
  <c r="K17" i="100"/>
  <c r="G26" i="100"/>
  <c r="E25" i="99"/>
  <c r="I20" i="86"/>
  <c r="I16" i="77"/>
  <c r="I24" i="102"/>
  <c r="G24" i="101"/>
  <c r="I18" i="91"/>
  <c r="E20" i="89"/>
  <c r="E23" i="88"/>
  <c r="E17" i="85"/>
  <c r="I18" i="90"/>
  <c r="E15" i="79"/>
  <c r="I18" i="74"/>
  <c r="K20" i="100"/>
  <c r="I19" i="89"/>
  <c r="G25" i="100"/>
  <c r="I14" i="102"/>
  <c r="I28" i="100"/>
  <c r="G18" i="90"/>
  <c r="G21" i="75"/>
  <c r="E15" i="78"/>
  <c r="G18" i="91"/>
  <c r="G21" i="78"/>
  <c r="G25" i="101"/>
  <c r="K19" i="10"/>
  <c r="E22" i="97"/>
  <c r="I18" i="100"/>
  <c r="I18" i="82"/>
  <c r="K22" i="101"/>
  <c r="G23" i="99"/>
  <c r="I16" i="96"/>
  <c r="K20" i="76"/>
  <c r="K15" i="74"/>
  <c r="K24" i="101"/>
  <c r="G23" i="81"/>
  <c r="G18" i="10"/>
  <c r="K17" i="101"/>
  <c r="I26" i="103"/>
  <c r="E15" i="83"/>
  <c r="E23" i="100"/>
  <c r="E23" i="95"/>
  <c r="K16" i="103"/>
  <c r="I15" i="92"/>
  <c r="E16" i="88"/>
  <c r="G22" i="93"/>
  <c r="I23" i="103"/>
  <c r="G20" i="78"/>
  <c r="K21" i="74"/>
  <c r="E14" i="93"/>
  <c r="E28" i="103"/>
  <c r="E20" i="77"/>
  <c r="I20" i="76"/>
  <c r="I22" i="103"/>
  <c r="E24" i="102"/>
  <c r="K22" i="89"/>
  <c r="I19" i="84"/>
  <c r="G16" i="85"/>
  <c r="E14" i="103"/>
  <c r="E18" i="95"/>
  <c r="G16" i="77"/>
  <c r="I16" i="95"/>
  <c r="K21" i="102"/>
  <c r="G16" i="100"/>
  <c r="I14" i="84"/>
  <c r="K22" i="100"/>
  <c r="E22" i="90"/>
  <c r="G28" i="102"/>
  <c r="I22" i="102"/>
  <c r="G23" i="87"/>
  <c r="E17" i="89"/>
  <c r="G21" i="96"/>
  <c r="K15" i="76"/>
  <c r="E23" i="76"/>
  <c r="G22" i="10"/>
  <c r="I21" i="90"/>
  <c r="K22" i="92"/>
  <c r="E21" i="85"/>
  <c r="G21" i="82"/>
  <c r="G19" i="85"/>
  <c r="K23" i="96"/>
  <c r="K14" i="75"/>
  <c r="K16" i="88"/>
  <c r="I16" i="86"/>
  <c r="I23" i="75"/>
  <c r="G21" i="10"/>
  <c r="I21" i="79"/>
  <c r="G20" i="92"/>
  <c r="K19" i="103"/>
  <c r="I21" i="95"/>
  <c r="E15" i="90"/>
  <c r="E16" i="91"/>
  <c r="K20" i="81"/>
  <c r="E16" i="93"/>
  <c r="G20" i="75"/>
  <c r="G14" i="75"/>
  <c r="G21" i="83"/>
  <c r="I15" i="81"/>
  <c r="G22" i="103"/>
  <c r="I27" i="102"/>
  <c r="E16" i="96"/>
  <c r="G18" i="85"/>
  <c r="G26" i="101"/>
  <c r="K18" i="98"/>
  <c r="K16" i="95"/>
  <c r="K16" i="94"/>
  <c r="E25" i="101"/>
  <c r="G17" i="101"/>
  <c r="G23" i="77"/>
  <c r="E16" i="90"/>
  <c r="G21" i="100"/>
  <c r="I20" i="100"/>
  <c r="G15" i="76"/>
  <c r="K15" i="100"/>
  <c r="E17" i="93"/>
  <c r="G19" i="86"/>
  <c r="K23" i="74"/>
  <c r="I14" i="100"/>
  <c r="G27" i="101"/>
  <c r="I17" i="96"/>
  <c r="K16" i="84"/>
  <c r="I22" i="77"/>
  <c r="K18" i="96"/>
  <c r="G21" i="92"/>
  <c r="K27" i="10"/>
  <c r="G14" i="76"/>
  <c r="E20" i="86"/>
  <c r="G17" i="103"/>
  <c r="E26" i="10"/>
  <c r="G19" i="92"/>
  <c r="K22" i="90"/>
  <c r="E14" i="75"/>
  <c r="E16" i="77"/>
  <c r="G22" i="92"/>
  <c r="K15" i="89"/>
  <c r="I15" i="90"/>
  <c r="K21" i="89"/>
  <c r="I17" i="75"/>
  <c r="E21" i="93"/>
  <c r="K18" i="10"/>
  <c r="E16" i="102"/>
  <c r="K19" i="74"/>
  <c r="G16" i="96"/>
  <c r="E20" i="88"/>
  <c r="I20" i="102"/>
  <c r="G19" i="10"/>
  <c r="G14" i="95"/>
  <c r="E22" i="100"/>
  <c r="G19" i="80"/>
  <c r="K23" i="78"/>
  <c r="E25" i="103"/>
  <c r="K18" i="82"/>
  <c r="K18" i="92"/>
  <c r="K19" i="97"/>
  <c r="G20" i="99"/>
  <c r="I16" i="94"/>
  <c r="I20" i="91"/>
  <c r="G21" i="79"/>
  <c r="I28" i="101"/>
  <c r="K21" i="81"/>
  <c r="I15" i="100"/>
  <c r="G18" i="100"/>
  <c r="E18" i="93"/>
  <c r="E19" i="86"/>
  <c r="I15" i="98"/>
  <c r="K24" i="10"/>
  <c r="G24" i="103"/>
  <c r="E7" i="76"/>
  <c r="G14" i="103"/>
  <c r="E23" i="81"/>
  <c r="K21" i="95"/>
  <c r="K15" i="94"/>
  <c r="K18" i="99"/>
  <c r="G22" i="86"/>
  <c r="G24" i="100"/>
  <c r="G23" i="82"/>
  <c r="I18" i="94"/>
  <c r="K19" i="100"/>
  <c r="G19" i="98"/>
  <c r="E16" i="99"/>
  <c r="G15" i="77"/>
  <c r="E19" i="74"/>
  <c r="K28" i="99"/>
  <c r="E23" i="99"/>
  <c r="K19" i="85"/>
  <c r="E23" i="83"/>
  <c r="G14" i="77"/>
  <c r="E20" i="84"/>
  <c r="I14" i="86"/>
  <c r="I17" i="84"/>
  <c r="K23" i="75"/>
  <c r="E14" i="83"/>
  <c r="E15" i="89"/>
  <c r="I19" i="78"/>
  <c r="E15" i="88"/>
  <c r="E14" i="88"/>
  <c r="I15" i="89"/>
  <c r="E22" i="93"/>
  <c r="K23" i="100"/>
  <c r="G21" i="77"/>
  <c r="G23" i="98"/>
  <c r="E21" i="94"/>
  <c r="E20" i="98"/>
  <c r="G28" i="10"/>
  <c r="G19" i="91"/>
  <c r="K15" i="77"/>
  <c r="I19" i="97"/>
  <c r="E16" i="82"/>
  <c r="E19" i="79"/>
  <c r="E27" i="99"/>
  <c r="E21" i="100"/>
  <c r="E23" i="103"/>
  <c r="E14" i="76"/>
  <c r="G17" i="83"/>
  <c r="I22" i="89"/>
  <c r="I23" i="95"/>
  <c r="E19" i="10"/>
  <c r="G22" i="99"/>
  <c r="E22" i="99"/>
  <c r="I21" i="91"/>
  <c r="I24" i="103"/>
  <c r="G21" i="101"/>
  <c r="K23" i="77"/>
  <c r="I14" i="97"/>
  <c r="K21" i="100"/>
  <c r="E19" i="97"/>
  <c r="E27" i="10"/>
  <c r="G17" i="95"/>
  <c r="K18" i="80"/>
  <c r="E16" i="79"/>
  <c r="E7" i="78"/>
  <c r="K18" i="79"/>
  <c r="G16" i="87"/>
  <c r="G18" i="77"/>
  <c r="K23" i="10"/>
  <c r="E14" i="77"/>
  <c r="K19" i="78"/>
  <c r="K17" i="82"/>
  <c r="K23" i="101"/>
  <c r="K19" i="99"/>
  <c r="K14" i="78"/>
  <c r="E7" i="92"/>
  <c r="I17" i="103"/>
  <c r="G15" i="79"/>
  <c r="I18" i="84"/>
  <c r="K21" i="91"/>
  <c r="I23" i="91"/>
  <c r="K27" i="99"/>
  <c r="E7" i="91"/>
  <c r="I24" i="100"/>
  <c r="K18" i="88"/>
  <c r="K22" i="98"/>
  <c r="G22" i="102"/>
  <c r="E14" i="90"/>
  <c r="E23" i="90"/>
  <c r="I18" i="10"/>
  <c r="I14" i="91"/>
  <c r="E17" i="91"/>
  <c r="I14" i="92"/>
  <c r="K14" i="88"/>
  <c r="K18" i="95"/>
  <c r="K26" i="101"/>
  <c r="E16" i="81"/>
  <c r="E18" i="102"/>
  <c r="G17" i="86"/>
  <c r="I21" i="96"/>
  <c r="E21" i="88"/>
  <c r="K22" i="103"/>
  <c r="E16" i="100"/>
  <c r="G22" i="80"/>
  <c r="E14" i="89"/>
  <c r="I18" i="96"/>
  <c r="G14" i="96"/>
  <c r="K28" i="102"/>
  <c r="E17" i="82"/>
  <c r="I16" i="98"/>
  <c r="E14" i="98"/>
  <c r="K14" i="84"/>
  <c r="K20" i="94"/>
  <c r="G25" i="99"/>
  <c r="E23" i="92"/>
  <c r="E17" i="76"/>
  <c r="K16" i="89"/>
  <c r="E7" i="80"/>
  <c r="E7" i="100"/>
  <c r="E23" i="74"/>
  <c r="I19" i="76"/>
  <c r="K20" i="96"/>
  <c r="E15" i="103"/>
  <c r="I23" i="100"/>
  <c r="I17" i="100"/>
  <c r="K19" i="81"/>
  <c r="E7" i="86"/>
  <c r="E26" i="99"/>
  <c r="I17" i="91"/>
  <c r="K14" i="81"/>
  <c r="G16" i="101"/>
  <c r="I23" i="74"/>
  <c r="I17" i="79"/>
  <c r="E22" i="75"/>
  <c r="K23" i="93"/>
  <c r="I16" i="88"/>
  <c r="K20" i="78"/>
  <c r="I17" i="82"/>
  <c r="E18" i="97"/>
  <c r="K19" i="102"/>
  <c r="I18" i="86"/>
  <c r="E17" i="80"/>
  <c r="G21" i="99"/>
  <c r="G23" i="89"/>
  <c r="E23" i="10"/>
  <c r="G14" i="101"/>
  <c r="E20" i="87"/>
  <c r="E20" i="79"/>
  <c r="E16" i="76"/>
  <c r="G15" i="91"/>
  <c r="E16" i="74"/>
  <c r="I16" i="87"/>
  <c r="K16" i="74"/>
  <c r="E18" i="88"/>
  <c r="E17" i="78"/>
  <c r="E14" i="91"/>
  <c r="I18" i="97"/>
  <c r="E23" i="84"/>
  <c r="I28" i="102"/>
  <c r="G15" i="99"/>
  <c r="G20" i="102"/>
  <c r="E18" i="100"/>
  <c r="I15" i="101"/>
  <c r="I22" i="99"/>
  <c r="I18" i="99"/>
  <c r="E7" i="84"/>
  <c r="E21" i="83"/>
  <c r="K16" i="96"/>
  <c r="K26" i="102"/>
  <c r="E18" i="77"/>
  <c r="K15" i="78"/>
  <c r="E16" i="87"/>
  <c r="E17" i="95"/>
  <c r="E16" i="89"/>
  <c r="E18" i="10"/>
  <c r="I21" i="75"/>
  <c r="E24" i="10"/>
  <c r="G15" i="95"/>
  <c r="G18" i="83"/>
  <c r="E22" i="91"/>
  <c r="E19" i="83"/>
  <c r="I14" i="75"/>
  <c r="K19" i="76"/>
  <c r="I20" i="77"/>
  <c r="I20" i="92"/>
  <c r="G21" i="89"/>
  <c r="I14" i="95"/>
  <c r="K16" i="92"/>
  <c r="E17" i="99"/>
  <c r="G16" i="83"/>
  <c r="G17" i="82"/>
  <c r="I15" i="91"/>
  <c r="G14" i="82"/>
  <c r="I20" i="84"/>
  <c r="E26" i="103"/>
  <c r="K17" i="87"/>
  <c r="E14" i="84"/>
  <c r="E16" i="92"/>
  <c r="E17" i="77"/>
  <c r="I25" i="103"/>
  <c r="G17" i="76"/>
  <c r="K23" i="91"/>
  <c r="I17" i="76"/>
  <c r="G17" i="87"/>
  <c r="G20" i="97"/>
  <c r="I22" i="98"/>
  <c r="G21" i="97"/>
  <c r="E20" i="101"/>
  <c r="I17" i="98"/>
  <c r="G27" i="100"/>
  <c r="I18" i="95"/>
  <c r="K26" i="100"/>
  <c r="K21" i="88"/>
  <c r="K14" i="98"/>
  <c r="E17" i="101"/>
  <c r="I20" i="94"/>
  <c r="E15" i="10"/>
  <c r="E7" i="97"/>
  <c r="E19" i="99"/>
  <c r="E15" i="81"/>
  <c r="E15" i="87"/>
  <c r="K16" i="81"/>
  <c r="I15" i="78"/>
  <c r="I28" i="99"/>
  <c r="E21" i="92"/>
  <c r="E23" i="82"/>
  <c r="G22" i="87"/>
  <c r="G22" i="91"/>
  <c r="G17" i="93"/>
  <c r="G28" i="103"/>
  <c r="I22" i="75"/>
  <c r="G14" i="102"/>
  <c r="E24" i="99"/>
  <c r="K18" i="84"/>
  <c r="I19" i="101"/>
  <c r="E15" i="101"/>
  <c r="E7" i="85"/>
  <c r="I18" i="83"/>
  <c r="G19" i="78"/>
  <c r="E17" i="102"/>
  <c r="G17" i="89"/>
  <c r="E15" i="95"/>
  <c r="E21" i="75"/>
  <c r="K18" i="86"/>
  <c r="G15" i="78"/>
  <c r="K16" i="93"/>
  <c r="G22" i="78"/>
  <c r="I18" i="75"/>
  <c r="E25" i="100"/>
  <c r="K14" i="100"/>
  <c r="E19" i="98"/>
  <c r="I22" i="94"/>
  <c r="I22" i="88"/>
  <c r="K22" i="10"/>
  <c r="I17" i="10"/>
  <c r="G23" i="90"/>
  <c r="I14" i="78"/>
  <c r="E16" i="101"/>
  <c r="K23" i="86"/>
  <c r="G14" i="84"/>
  <c r="E15" i="100"/>
  <c r="K20" i="75"/>
  <c r="G18" i="98"/>
  <c r="G14" i="79"/>
  <c r="K18" i="94"/>
  <c r="E19" i="85"/>
  <c r="I22" i="74"/>
  <c r="E26" i="102"/>
  <c r="E7" i="89"/>
  <c r="G15" i="86"/>
  <c r="K17" i="75"/>
  <c r="E23" i="75"/>
  <c r="E22" i="80"/>
  <c r="E14" i="87"/>
  <c r="E14" i="82"/>
  <c r="K20" i="99"/>
  <c r="E7" i="83"/>
  <c r="G21" i="87"/>
  <c r="G20" i="87"/>
  <c r="E18" i="92"/>
  <c r="G20" i="77"/>
  <c r="E16" i="86"/>
  <c r="G18" i="75"/>
  <c r="E19" i="89"/>
  <c r="G22" i="74"/>
  <c r="G14" i="10"/>
  <c r="I22" i="87"/>
  <c r="G21" i="86"/>
  <c r="K20" i="98"/>
  <c r="I22" i="81"/>
  <c r="E23" i="93"/>
  <c r="K16" i="102"/>
  <c r="K17" i="97"/>
  <c r="I23" i="85"/>
  <c r="K14" i="103"/>
  <c r="E19" i="91"/>
  <c r="I17" i="90"/>
  <c r="K19" i="88"/>
  <c r="E23" i="89"/>
  <c r="K23" i="89"/>
  <c r="I26" i="102"/>
  <c r="K14" i="85"/>
  <c r="E15" i="77"/>
  <c r="G27" i="10"/>
  <c r="E17" i="96"/>
  <c r="K14" i="77"/>
  <c r="E19" i="93"/>
  <c r="K14" i="89"/>
  <c r="E18" i="89"/>
  <c r="I14" i="93"/>
  <c r="G17" i="96"/>
  <c r="I17" i="101"/>
  <c r="G22" i="84"/>
  <c r="I21" i="83"/>
  <c r="I24" i="10"/>
  <c r="I17" i="95"/>
  <c r="E27" i="100"/>
  <c r="G18" i="80"/>
  <c r="E16" i="83"/>
  <c r="I14" i="99"/>
  <c r="K14" i="97"/>
  <c r="E22" i="85"/>
  <c r="K14" i="86"/>
  <c r="G14" i="90"/>
  <c r="I21" i="81"/>
  <c r="G18" i="78"/>
  <c r="E16" i="98"/>
  <c r="G27" i="99"/>
  <c r="E21" i="95"/>
  <c r="K17" i="98"/>
  <c r="K22" i="85"/>
  <c r="I14" i="76"/>
  <c r="I16" i="92"/>
  <c r="E15" i="98"/>
  <c r="G21" i="102"/>
  <c r="I18" i="77"/>
  <c r="G19" i="77"/>
  <c r="K19" i="98"/>
  <c r="E22" i="77"/>
  <c r="G20" i="86"/>
  <c r="K17" i="93"/>
  <c r="I18" i="81"/>
  <c r="I19" i="74"/>
  <c r="E14" i="92"/>
  <c r="G23" i="78"/>
  <c r="E16" i="85"/>
  <c r="I14" i="98"/>
  <c r="K22" i="102"/>
  <c r="K16" i="83"/>
  <c r="E19" i="92"/>
  <c r="G16" i="74"/>
  <c r="I17" i="78"/>
  <c r="I23" i="87"/>
  <c r="G15" i="103"/>
  <c r="I15" i="94"/>
  <c r="E21" i="74"/>
  <c r="I20" i="75"/>
  <c r="E14" i="81"/>
  <c r="I15" i="10"/>
  <c r="E7" i="79"/>
  <c r="I17" i="102"/>
  <c r="I27" i="10"/>
  <c r="E19" i="75"/>
  <c r="E17" i="10"/>
  <c r="E15" i="76"/>
  <c r="I18" i="93"/>
  <c r="G17" i="80"/>
  <c r="E20" i="83"/>
  <c r="I22" i="101"/>
  <c r="E7" i="99"/>
  <c r="G19" i="100"/>
  <c r="G19" i="89"/>
  <c r="E14" i="10"/>
  <c r="I19" i="75"/>
  <c r="G16" i="81"/>
  <c r="G17" i="102"/>
  <c r="G21" i="91"/>
  <c r="K27" i="102"/>
  <c r="E16" i="95"/>
  <c r="E21" i="96"/>
  <c r="K15" i="92"/>
  <c r="I19" i="91"/>
  <c r="K23" i="82"/>
  <c r="G17" i="75"/>
  <c r="I21" i="74"/>
  <c r="K16" i="77"/>
  <c r="E19" i="84"/>
  <c r="G20" i="81"/>
  <c r="I20" i="89"/>
  <c r="K23" i="103"/>
  <c r="E19" i="82"/>
  <c r="K15" i="81"/>
  <c r="I18" i="79"/>
  <c r="K24" i="99"/>
  <c r="E17" i="83"/>
  <c r="K21" i="98"/>
  <c r="K14" i="92"/>
  <c r="E19" i="76"/>
  <c r="I24" i="99"/>
  <c r="G18" i="79"/>
  <c r="E16" i="94"/>
  <c r="K14" i="99"/>
  <c r="E22" i="102"/>
  <c r="G20" i="98"/>
  <c r="K14" i="93"/>
  <c r="E22" i="95"/>
  <c r="G16" i="79"/>
  <c r="E21" i="103"/>
  <c r="E25" i="102"/>
  <c r="G20" i="74"/>
  <c r="I25" i="101"/>
  <c r="K15" i="98"/>
  <c r="G15" i="90"/>
  <c r="I20" i="85"/>
  <c r="E7" i="93"/>
  <c r="E15" i="75"/>
  <c r="G19" i="75"/>
  <c r="K18" i="85"/>
  <c r="E27" i="101"/>
  <c r="G16" i="92"/>
  <c r="G27" i="102"/>
  <c r="I16" i="75"/>
  <c r="E18" i="96"/>
  <c r="G23" i="103"/>
  <c r="K14" i="74"/>
  <c r="I17" i="80"/>
  <c r="K21" i="84"/>
  <c r="E22" i="101"/>
  <c r="K21" i="87"/>
  <c r="K20" i="74"/>
  <c r="E19" i="101"/>
  <c r="I21" i="103"/>
  <c r="E20" i="99"/>
  <c r="K16" i="97"/>
  <c r="E19" i="88"/>
  <c r="I16" i="103"/>
  <c r="E14" i="85"/>
  <c r="K21" i="82"/>
  <c r="G15" i="100"/>
  <c r="E14" i="78"/>
  <c r="I16" i="80"/>
  <c r="E7" i="90"/>
  <c r="I25" i="100"/>
  <c r="E14" i="101"/>
  <c r="I16" i="97"/>
  <c r="K23" i="90"/>
  <c r="G26" i="99"/>
  <c r="G18" i="102"/>
  <c r="K23" i="92"/>
  <c r="E15" i="93"/>
  <c r="K15" i="101"/>
  <c r="K22" i="77"/>
  <c r="K23" i="98"/>
  <c r="G17" i="85"/>
  <c r="K15" i="90"/>
  <c r="K20" i="86"/>
  <c r="G14" i="87"/>
  <c r="K14" i="10"/>
  <c r="K17" i="77"/>
  <c r="I14" i="77"/>
  <c r="E7" i="101"/>
  <c r="G16" i="102"/>
  <c r="G18" i="97"/>
  <c r="E22" i="79"/>
  <c r="I23" i="82"/>
  <c r="K25" i="10"/>
  <c r="E22" i="81"/>
  <c r="I22" i="100"/>
  <c r="E22" i="89"/>
  <c r="G14" i="99"/>
  <c r="K23" i="102"/>
  <c r="E23" i="102"/>
  <c r="K23" i="87"/>
  <c r="E22" i="74"/>
  <c r="E7" i="74"/>
  <c r="I23" i="96"/>
  <c r="E21" i="90"/>
  <c r="E18" i="75"/>
  <c r="G14" i="91"/>
  <c r="G20" i="93"/>
  <c r="G15" i="102"/>
  <c r="G14" i="86"/>
  <c r="E21" i="97"/>
  <c r="E7" i="96"/>
  <c r="K16" i="80"/>
  <c r="G22" i="76"/>
  <c r="E24" i="101"/>
  <c r="K17" i="10"/>
  <c r="G28" i="99"/>
  <c r="I18" i="92"/>
  <c r="I18" i="76"/>
  <c r="I20" i="82"/>
  <c r="E19" i="95"/>
  <c r="E17" i="90"/>
  <c r="G18" i="96"/>
  <c r="E18" i="94"/>
  <c r="G18" i="92"/>
  <c r="G18" i="103"/>
  <c r="E16" i="10"/>
  <c r="I23" i="90"/>
  <c r="E20" i="90"/>
  <c r="K14" i="101"/>
  <c r="E16" i="75"/>
  <c r="G21" i="103"/>
  <c r="G22" i="85"/>
  <c r="K14" i="87"/>
  <c r="E21" i="91"/>
  <c r="E16" i="78"/>
  <c r="E21" i="101"/>
  <c r="K15" i="75"/>
  <c r="K19" i="95"/>
  <c r="G19" i="93"/>
  <c r="G20" i="90"/>
  <c r="G16" i="90"/>
  <c r="G22" i="95"/>
  <c r="K17" i="81"/>
  <c r="I19" i="93"/>
  <c r="G23" i="74"/>
  <c r="E28" i="101"/>
  <c r="I17" i="97"/>
  <c r="E22" i="103"/>
  <c r="K21" i="77"/>
  <c r="G16" i="99"/>
  <c r="G23" i="100"/>
  <c r="E17" i="86"/>
  <c r="I21" i="92"/>
  <c r="I16" i="76"/>
  <c r="K21" i="10"/>
  <c r="I23" i="84"/>
  <c r="K16" i="85"/>
  <c r="K17" i="74"/>
  <c r="K20" i="103"/>
  <c r="K21" i="75"/>
  <c r="K18" i="89"/>
  <c r="K19" i="91"/>
  <c r="I23" i="94"/>
  <c r="E18" i="78"/>
  <c r="K17" i="80"/>
  <c r="E26" i="100"/>
  <c r="I22" i="92"/>
  <c r="K18" i="101"/>
  <c r="I25" i="10"/>
  <c r="G15" i="10"/>
  <c r="G21" i="90"/>
  <c r="E21" i="87"/>
  <c r="E20" i="74"/>
  <c r="E16" i="80"/>
  <c r="E19" i="87"/>
  <c r="I22" i="78"/>
  <c r="E23" i="80"/>
  <c r="G19" i="94"/>
  <c r="K15" i="87"/>
  <c r="K14" i="94"/>
  <c r="K19" i="86"/>
  <c r="I14" i="96"/>
  <c r="G16" i="82"/>
  <c r="G19" i="90"/>
  <c r="K17" i="89"/>
  <c r="K25" i="103"/>
  <c r="E7" i="103"/>
  <c r="K22" i="96"/>
  <c r="K22" i="76"/>
  <c r="K18" i="87"/>
  <c r="G23" i="95"/>
  <c r="I15" i="102"/>
  <c r="I17" i="94"/>
  <c r="K15" i="91"/>
  <c r="I16" i="91"/>
  <c r="K18" i="91"/>
  <c r="E17" i="92"/>
  <c r="K16" i="98"/>
  <c r="I14" i="10"/>
  <c r="K20" i="90"/>
  <c r="I22" i="96"/>
  <c r="G17" i="78"/>
  <c r="E19" i="90"/>
  <c r="I20" i="98"/>
  <c r="E15" i="84"/>
  <c r="E18" i="85"/>
  <c r="E20" i="92"/>
  <c r="I16" i="74"/>
  <c r="I20" i="97"/>
  <c r="K27" i="100"/>
  <c r="E17" i="84"/>
  <c r="K17" i="99"/>
  <c r="G19" i="74"/>
  <c r="G17" i="90"/>
  <c r="K16" i="87"/>
  <c r="E18" i="80"/>
  <c r="I19" i="103"/>
  <c r="G22" i="98"/>
  <c r="E20" i="82"/>
  <c r="I20" i="87"/>
  <c r="K26" i="103"/>
  <c r="G22" i="94"/>
  <c r="K23" i="81"/>
  <c r="E23" i="87"/>
  <c r="E18" i="81"/>
  <c r="E7" i="10"/>
  <c r="G23" i="97"/>
  <c r="G18" i="95"/>
  <c r="E23" i="79"/>
  <c r="K20" i="10"/>
  <c r="I15" i="95"/>
  <c r="K18" i="76"/>
  <c r="G21" i="81"/>
  <c r="G18" i="99"/>
  <c r="K22" i="87"/>
  <c r="G16" i="89"/>
  <c r="G15" i="93"/>
  <c r="G18" i="94"/>
  <c r="G20" i="84"/>
  <c r="E28" i="100"/>
  <c r="K26" i="99"/>
  <c r="G15" i="81"/>
  <c r="E21" i="78"/>
  <c r="I23" i="89"/>
  <c r="E17" i="88"/>
  <c r="K22" i="75"/>
  <c r="E18" i="103"/>
  <c r="K17" i="78"/>
  <c r="E21" i="102"/>
  <c r="G17" i="88"/>
  <c r="G23" i="10"/>
  <c r="I20" i="78"/>
  <c r="I22" i="76"/>
  <c r="E22" i="86"/>
  <c r="G22" i="97"/>
  <c r="K23" i="99"/>
  <c r="G16" i="75"/>
  <c r="I20" i="95"/>
  <c r="I21" i="93"/>
  <c r="I15" i="87"/>
  <c r="G23" i="85"/>
  <c r="E21" i="81"/>
  <c r="I27" i="101"/>
  <c r="G17" i="91"/>
  <c r="E18" i="90"/>
  <c r="G19" i="101"/>
  <c r="K23" i="94"/>
  <c r="K15" i="96"/>
  <c r="G24" i="10"/>
  <c r="K27" i="103"/>
  <c r="G18" i="74"/>
  <c r="G23" i="91"/>
  <c r="K15" i="99"/>
  <c r="E20" i="85"/>
  <c r="G18" i="76"/>
  <c r="K15" i="86"/>
  <c r="I19" i="100"/>
  <c r="K14" i="82"/>
  <c r="G17" i="92"/>
  <c r="E22" i="87"/>
  <c r="G18" i="101"/>
  <c r="K21" i="80"/>
  <c r="I14" i="103"/>
  <c r="K25" i="99"/>
  <c r="I14" i="85"/>
  <c r="I18" i="98"/>
  <c r="I22" i="10"/>
  <c r="K22" i="74"/>
  <c r="G15" i="84"/>
  <c r="K22" i="91"/>
  <c r="K19" i="75"/>
  <c r="E7" i="77"/>
  <c r="E15" i="99"/>
  <c r="G19" i="79"/>
  <c r="G19" i="84"/>
  <c r="I17" i="86"/>
  <c r="I21" i="10"/>
  <c r="I23" i="77"/>
  <c r="G22" i="82"/>
  <c r="G14" i="81"/>
  <c r="E18" i="98"/>
  <c r="G15" i="101"/>
  <c r="I21" i="86"/>
  <c r="I15" i="74"/>
  <c r="G18" i="84"/>
  <c r="E15" i="86"/>
  <c r="I22" i="93"/>
  <c r="I17" i="77"/>
  <c r="K26" i="10"/>
  <c r="G25" i="10"/>
  <c r="I21" i="98"/>
  <c r="E25" i="10"/>
  <c r="G20" i="95"/>
  <c r="I27" i="99"/>
  <c r="I18" i="78"/>
  <c r="E18" i="101"/>
  <c r="K16" i="10"/>
  <c r="K15" i="85"/>
  <c r="K22" i="82"/>
  <c r="E20" i="102"/>
  <c r="I15" i="76"/>
  <c r="K17" i="84"/>
  <c r="I14" i="82"/>
  <c r="I23" i="97"/>
  <c r="G17" i="94"/>
  <c r="K15" i="10"/>
  <c r="E7" i="95"/>
  <c r="E23" i="97"/>
  <c r="G20" i="82"/>
  <c r="G23" i="75"/>
  <c r="I23" i="102"/>
  <c r="E7" i="94"/>
  <c r="G16" i="95"/>
  <c r="E14" i="94"/>
  <c r="E18" i="76"/>
  <c r="G15" i="94"/>
  <c r="I21" i="78"/>
  <c r="E21" i="82"/>
  <c r="I21" i="97"/>
  <c r="E19" i="80"/>
  <c r="I15" i="97"/>
  <c r="E20" i="97"/>
  <c r="E20" i="78"/>
  <c r="E20" i="91"/>
  <c r="I22" i="90"/>
  <c r="I19" i="87"/>
  <c r="E19" i="78"/>
  <c r="I19" i="85"/>
  <c r="K21" i="90"/>
  <c r="G15" i="85"/>
  <c r="G19" i="82"/>
  <c r="E19" i="100"/>
  <c r="E21" i="80"/>
  <c r="K17" i="90"/>
  <c r="G28" i="101"/>
  <c r="I16" i="84"/>
  <c r="G16" i="86"/>
  <c r="E23" i="85"/>
  <c r="K21" i="79"/>
  <c r="K17" i="91"/>
  <c r="I16" i="82"/>
  <c r="K20" i="93"/>
  <c r="I16" i="100"/>
  <c r="E15" i="97"/>
  <c r="K21" i="86"/>
  <c r="E7" i="102"/>
  <c r="E20" i="80"/>
  <c r="E17" i="98"/>
  <c r="E22" i="84"/>
  <c r="G21" i="74"/>
  <c r="I19" i="90"/>
  <c r="G22" i="81"/>
  <c r="G19" i="103"/>
  <c r="I21" i="77"/>
  <c r="K14" i="96"/>
  <c r="E17" i="75"/>
  <c r="G20" i="76"/>
  <c r="I14" i="74"/>
  <c r="G15" i="97"/>
  <c r="I19" i="96"/>
  <c r="E19" i="102"/>
  <c r="I15" i="86"/>
  <c r="I21" i="76"/>
  <c r="K20" i="91"/>
  <c r="I16" i="78"/>
  <c r="G15" i="92"/>
  <c r="G23" i="76"/>
  <c r="I16" i="90"/>
  <c r="G24" i="102"/>
  <c r="G18" i="81"/>
  <c r="E18" i="82"/>
  <c r="E14" i="102"/>
  <c r="G27" i="103"/>
  <c r="K17" i="103"/>
  <c r="K21" i="92"/>
  <c r="E20" i="93"/>
  <c r="G19" i="96"/>
  <c r="E15" i="96"/>
  <c r="G22" i="96"/>
  <c r="G21" i="76"/>
  <c r="K19" i="93"/>
  <c r="I19" i="81"/>
  <c r="G15" i="74"/>
  <c r="I21" i="89"/>
  <c r="K22" i="86"/>
  <c r="G21" i="94"/>
  <c r="I20" i="101"/>
  <c r="G19" i="102"/>
  <c r="I15" i="77"/>
  <c r="I19" i="102"/>
  <c r="I16" i="79"/>
  <c r="I20" i="96"/>
  <c r="I19" i="10"/>
  <c r="K20" i="97"/>
  <c r="K27" i="101"/>
  <c r="I15" i="85"/>
  <c r="I21" i="100"/>
  <c r="K21" i="94"/>
  <c r="K17" i="96"/>
  <c r="I21" i="85"/>
  <c r="G22" i="101"/>
  <c r="I25" i="102"/>
  <c r="E21" i="79"/>
  <c r="I21" i="102"/>
  <c r="K18" i="75"/>
  <c r="G17" i="81"/>
  <c r="K19" i="101"/>
  <c r="I14" i="81"/>
  <c r="K25" i="101"/>
  <c r="K21" i="101"/>
  <c r="G16" i="80"/>
  <c r="K21" i="78"/>
  <c r="G14" i="97"/>
  <c r="K20" i="84"/>
  <c r="K16" i="100"/>
  <c r="I21" i="82"/>
  <c r="E15" i="74"/>
  <c r="K17" i="79"/>
  <c r="G25" i="103"/>
  <c r="I21" i="80"/>
  <c r="E19" i="103"/>
  <c r="G22" i="77"/>
  <c r="K18" i="97"/>
  <c r="E20" i="75"/>
  <c r="K16" i="101"/>
  <c r="I16" i="85"/>
  <c r="K23" i="97"/>
  <c r="I16" i="101"/>
  <c r="K21" i="96"/>
  <c r="K21" i="93"/>
  <c r="I19" i="99"/>
  <c r="G17" i="10"/>
  <c r="I22" i="97"/>
  <c r="I17" i="93"/>
  <c r="K22" i="78"/>
  <c r="G19" i="97"/>
  <c r="K17" i="76"/>
  <c r="I20" i="90"/>
  <c r="K20" i="102"/>
  <c r="I17" i="92"/>
  <c r="E18" i="91"/>
  <c r="I28" i="103"/>
  <c r="K25" i="102"/>
  <c r="E16" i="84"/>
  <c r="K18" i="90"/>
  <c r="G22" i="75"/>
  <c r="E22" i="98"/>
  <c r="G22" i="79"/>
  <c r="K19" i="92"/>
  <c r="E15" i="91"/>
  <c r="K14" i="76"/>
  <c r="G20" i="103"/>
  <c r="K21" i="99"/>
  <c r="K20" i="85"/>
  <c r="E22" i="92"/>
  <c r="G14" i="98"/>
  <c r="G14" i="93"/>
  <c r="I27" i="103"/>
  <c r="I20" i="103"/>
  <c r="G19" i="76"/>
  <c r="I15" i="84"/>
  <c r="I26" i="101"/>
  <c r="K19" i="96"/>
  <c r="I16" i="89"/>
  <c r="I18" i="103"/>
  <c r="G16" i="93"/>
  <c r="G17" i="77"/>
  <c r="E28" i="102"/>
  <c r="G18" i="82"/>
  <c r="G23" i="92"/>
  <c r="E19" i="77"/>
  <c r="E23" i="96"/>
  <c r="I26" i="99"/>
  <c r="E27" i="102"/>
  <c r="E18" i="83"/>
  <c r="G28" i="100"/>
  <c r="I15" i="93"/>
  <c r="I23" i="99"/>
  <c r="G15" i="98"/>
  <c r="I23" i="101"/>
  <c r="I19" i="82"/>
  <c r="G23" i="102"/>
  <c r="G26" i="10"/>
  <c r="K19" i="84"/>
  <c r="G23" i="101"/>
  <c r="G16" i="103"/>
  <c r="K17" i="94"/>
  <c r="E23" i="94"/>
  <c r="K20" i="82"/>
  <c r="K21" i="97"/>
  <c r="I19" i="98"/>
  <c r="E23" i="98"/>
  <c r="E21" i="84"/>
  <c r="I22" i="84"/>
  <c r="G21" i="85"/>
  <c r="E23" i="91"/>
  <c r="K20" i="87"/>
  <c r="M20" i="87" l="1"/>
  <c r="M21" i="97"/>
  <c r="M20" i="82"/>
  <c r="M17" i="94"/>
  <c r="M19" i="84"/>
  <c r="M19" i="96"/>
  <c r="G26" i="93"/>
  <c r="G26" i="98"/>
  <c r="M20" i="85"/>
  <c r="M21" i="99"/>
  <c r="O21" i="99" s="1"/>
  <c r="K26" i="76"/>
  <c r="M14" i="76"/>
  <c r="M19" i="92"/>
  <c r="M22" i="79"/>
  <c r="M18" i="90"/>
  <c r="M17" i="76"/>
  <c r="M22" i="78"/>
  <c r="M21" i="93"/>
  <c r="M21" i="96"/>
  <c r="M23" i="97"/>
  <c r="M18" i="97"/>
  <c r="M19" i="103"/>
  <c r="O19" i="103" s="1"/>
  <c r="K26" i="79"/>
  <c r="M17" i="79"/>
  <c r="M16" i="100"/>
  <c r="O16" i="100" s="1"/>
  <c r="M20" i="84"/>
  <c r="G26" i="97"/>
  <c r="M21" i="78"/>
  <c r="I26" i="81"/>
  <c r="M18" i="75"/>
  <c r="M17" i="96"/>
  <c r="M21" i="94"/>
  <c r="M20" i="97"/>
  <c r="I14" i="79"/>
  <c r="M16" i="79"/>
  <c r="M22" i="86"/>
  <c r="M19" i="93"/>
  <c r="M21" i="92"/>
  <c r="E31" i="102"/>
  <c r="M14" i="102"/>
  <c r="M20" i="91"/>
  <c r="M19" i="102"/>
  <c r="O19" i="102" s="1"/>
  <c r="I26" i="74"/>
  <c r="M14" i="96"/>
  <c r="K26" i="96"/>
  <c r="M21" i="86"/>
  <c r="M20" i="93"/>
  <c r="M17" i="91"/>
  <c r="M21" i="79"/>
  <c r="M17" i="90"/>
  <c r="M21" i="90"/>
  <c r="E26" i="94"/>
  <c r="I26" i="82"/>
  <c r="M17" i="84"/>
  <c r="M20" i="102"/>
  <c r="O20" i="102" s="1"/>
  <c r="M22" i="82"/>
  <c r="M15" i="85"/>
  <c r="M18" i="101"/>
  <c r="O18" i="101" s="1"/>
  <c r="G26" i="81"/>
  <c r="M19" i="79"/>
  <c r="M19" i="75"/>
  <c r="M22" i="91"/>
  <c r="M22" i="74"/>
  <c r="I26" i="85"/>
  <c r="I31" i="103"/>
  <c r="M21" i="80"/>
  <c r="M14" i="82"/>
  <c r="K26" i="82"/>
  <c r="M15" i="86"/>
  <c r="M15" i="99"/>
  <c r="O15" i="99" s="1"/>
  <c r="M15" i="96"/>
  <c r="M23" i="94"/>
  <c r="M23" i="99"/>
  <c r="O23" i="99" s="1"/>
  <c r="M21" i="102"/>
  <c r="O21" i="102" s="1"/>
  <c r="M17" i="78"/>
  <c r="M18" i="103"/>
  <c r="O18" i="103" s="1"/>
  <c r="M22" i="75"/>
  <c r="M22" i="87"/>
  <c r="M23" i="81"/>
  <c r="M16" i="87"/>
  <c r="M17" i="99"/>
  <c r="O17" i="99" s="1"/>
  <c r="M20" i="90"/>
  <c r="I31" i="10"/>
  <c r="M16" i="98"/>
  <c r="M18" i="91"/>
  <c r="M15" i="91"/>
  <c r="M18" i="87"/>
  <c r="M22" i="76"/>
  <c r="M22" i="96"/>
  <c r="M17" i="89"/>
  <c r="I26" i="96"/>
  <c r="M19" i="86"/>
  <c r="K26" i="94"/>
  <c r="M14" i="94"/>
  <c r="M15" i="87"/>
  <c r="M17" i="80"/>
  <c r="M19" i="91"/>
  <c r="M18" i="89"/>
  <c r="M21" i="75"/>
  <c r="M17" i="74"/>
  <c r="M16" i="85"/>
  <c r="M21" i="77"/>
  <c r="M22" i="103"/>
  <c r="O22" i="103" s="1"/>
  <c r="M17" i="81"/>
  <c r="M19" i="95"/>
  <c r="M15" i="75"/>
  <c r="M21" i="101"/>
  <c r="O21" i="101" s="1"/>
  <c r="K26" i="87"/>
  <c r="M14" i="87"/>
  <c r="K31" i="101"/>
  <c r="M16" i="10"/>
  <c r="O16" i="10" s="1"/>
  <c r="M24" i="101"/>
  <c r="O24" i="101" s="1"/>
  <c r="M16" i="80"/>
  <c r="K26" i="80"/>
  <c r="G26" i="86"/>
  <c r="G26" i="91"/>
  <c r="M23" i="87"/>
  <c r="M23" i="102"/>
  <c r="O23" i="102" s="1"/>
  <c r="G31" i="99"/>
  <c r="I26" i="77"/>
  <c r="M17" i="77"/>
  <c r="K31" i="10"/>
  <c r="G26" i="87"/>
  <c r="M20" i="86"/>
  <c r="M15" i="90"/>
  <c r="M23" i="98"/>
  <c r="M22" i="77"/>
  <c r="M23" i="92"/>
  <c r="M23" i="90"/>
  <c r="M14" i="101"/>
  <c r="E31" i="101"/>
  <c r="I14" i="80"/>
  <c r="E26" i="78"/>
  <c r="M21" i="82"/>
  <c r="E26" i="85"/>
  <c r="M16" i="97"/>
  <c r="M19" i="101"/>
  <c r="O19" i="101" s="1"/>
  <c r="M20" i="74"/>
  <c r="M21" i="87"/>
  <c r="M22" i="101"/>
  <c r="O22" i="101" s="1"/>
  <c r="M21" i="84"/>
  <c r="K26" i="74"/>
  <c r="M14" i="74"/>
  <c r="M18" i="85"/>
  <c r="M15" i="98"/>
  <c r="M21" i="103"/>
  <c r="O21" i="103" s="1"/>
  <c r="M14" i="93"/>
  <c r="K26" i="93"/>
  <c r="M22" i="102"/>
  <c r="O22" i="102" s="1"/>
  <c r="K31" i="99"/>
  <c r="M14" i="99"/>
  <c r="M14" i="92"/>
  <c r="K26" i="92"/>
  <c r="M21" i="98"/>
  <c r="M15" i="81"/>
  <c r="M16" i="77"/>
  <c r="M23" i="82"/>
  <c r="M15" i="92"/>
  <c r="M14" i="10"/>
  <c r="E31" i="10"/>
  <c r="M20" i="83"/>
  <c r="M17" i="10"/>
  <c r="O17" i="10" s="1"/>
  <c r="E26" i="81"/>
  <c r="K26" i="83"/>
  <c r="M16" i="83"/>
  <c r="I26" i="98"/>
  <c r="E26" i="92"/>
  <c r="M17" i="93"/>
  <c r="M19" i="98"/>
  <c r="I26" i="76"/>
  <c r="M22" i="85"/>
  <c r="M17" i="98"/>
  <c r="G26" i="90"/>
  <c r="K26" i="86"/>
  <c r="M14" i="86"/>
  <c r="M14" i="97"/>
  <c r="K26" i="97"/>
  <c r="I31" i="99"/>
  <c r="I26" i="93"/>
  <c r="K26" i="89"/>
  <c r="M14" i="89"/>
  <c r="K26" i="77"/>
  <c r="M14" i="77"/>
  <c r="M14" i="85"/>
  <c r="K26" i="85"/>
  <c r="M23" i="89"/>
  <c r="K31" i="103"/>
  <c r="M17" i="97"/>
  <c r="M20" i="98"/>
  <c r="G31" i="10"/>
  <c r="M20" i="99"/>
  <c r="O20" i="99" s="1"/>
  <c r="E26" i="82"/>
  <c r="E26" i="87"/>
  <c r="M17" i="75"/>
  <c r="M18" i="94"/>
  <c r="G26" i="79"/>
  <c r="M20" i="75"/>
  <c r="G26" i="84"/>
  <c r="M23" i="86"/>
  <c r="M16" i="101"/>
  <c r="O16" i="101" s="1"/>
  <c r="I26" i="78"/>
  <c r="K31" i="100"/>
  <c r="M14" i="100"/>
  <c r="M16" i="93"/>
  <c r="M18" i="86"/>
  <c r="O18" i="86" s="1"/>
  <c r="M17" i="102"/>
  <c r="O17" i="102" s="1"/>
  <c r="M15" i="101"/>
  <c r="O15" i="101" s="1"/>
  <c r="M18" i="84"/>
  <c r="M24" i="99"/>
  <c r="O24" i="99" s="1"/>
  <c r="G31" i="102"/>
  <c r="M16" i="81"/>
  <c r="M15" i="10"/>
  <c r="O15" i="10" s="1"/>
  <c r="M17" i="101"/>
  <c r="O17" i="101" s="1"/>
  <c r="M14" i="98"/>
  <c r="K26" i="98"/>
  <c r="M21" i="88"/>
  <c r="M20" i="101"/>
  <c r="O20" i="101" s="1"/>
  <c r="M23" i="91"/>
  <c r="E26" i="84"/>
  <c r="M17" i="87"/>
  <c r="G26" i="82"/>
  <c r="G14" i="83"/>
  <c r="G26" i="83" s="1"/>
  <c r="M16" i="92"/>
  <c r="I26" i="95"/>
  <c r="M19" i="76"/>
  <c r="I26" i="75"/>
  <c r="M19" i="83"/>
  <c r="M24" i="10"/>
  <c r="O24" i="10" s="1"/>
  <c r="M18" i="10"/>
  <c r="O18" i="10" s="1"/>
  <c r="M15" i="78"/>
  <c r="M16" i="96"/>
  <c r="E26" i="91"/>
  <c r="M16" i="74"/>
  <c r="G31" i="101"/>
  <c r="M23" i="10"/>
  <c r="O23" i="10" s="1"/>
  <c r="M20" i="78"/>
  <c r="I26" i="88"/>
  <c r="M23" i="93"/>
  <c r="K26" i="81"/>
  <c r="M14" i="81"/>
  <c r="M19" i="81"/>
  <c r="M15" i="103"/>
  <c r="O15" i="103" s="1"/>
  <c r="M20" i="96"/>
  <c r="M16" i="89"/>
  <c r="M20" i="94"/>
  <c r="M14" i="84"/>
  <c r="K26" i="84"/>
  <c r="E26" i="98"/>
  <c r="G26" i="96"/>
  <c r="E26" i="89"/>
  <c r="M22" i="80"/>
  <c r="M18" i="102"/>
  <c r="O18" i="102" s="1"/>
  <c r="M18" i="95"/>
  <c r="K26" i="88"/>
  <c r="M14" i="88"/>
  <c r="I26" i="92"/>
  <c r="I26" i="91"/>
  <c r="E26" i="90"/>
  <c r="M22" i="98"/>
  <c r="M18" i="88"/>
  <c r="M21" i="91"/>
  <c r="M15" i="79"/>
  <c r="M14" i="78"/>
  <c r="K26" i="78"/>
  <c r="M19" i="99"/>
  <c r="O19" i="99" s="1"/>
  <c r="M17" i="82"/>
  <c r="M19" i="78"/>
  <c r="E26" i="77"/>
  <c r="M18" i="79"/>
  <c r="M18" i="80"/>
  <c r="M21" i="100"/>
  <c r="O21" i="100" s="1"/>
  <c r="I26" i="97"/>
  <c r="M23" i="77"/>
  <c r="M19" i="10"/>
  <c r="O19" i="10" s="1"/>
  <c r="E26" i="76"/>
  <c r="M23" i="103"/>
  <c r="O23" i="103" s="1"/>
  <c r="M15" i="77"/>
  <c r="M23" i="100"/>
  <c r="O23" i="100" s="1"/>
  <c r="E26" i="88"/>
  <c r="E26" i="83"/>
  <c r="M23" i="75"/>
  <c r="I26" i="86"/>
  <c r="G26" i="77"/>
  <c r="M23" i="83"/>
  <c r="M19" i="85"/>
  <c r="M19" i="100"/>
  <c r="O19" i="100" s="1"/>
  <c r="M18" i="99"/>
  <c r="O18" i="99" s="1"/>
  <c r="M15" i="94"/>
  <c r="M21" i="95"/>
  <c r="G31" i="103"/>
  <c r="M21" i="81"/>
  <c r="M19" i="97"/>
  <c r="M18" i="92"/>
  <c r="M18" i="82"/>
  <c r="M23" i="78"/>
  <c r="M19" i="80"/>
  <c r="G26" i="95"/>
  <c r="M19" i="74"/>
  <c r="M16" i="102"/>
  <c r="O16" i="102" s="1"/>
  <c r="M21" i="89"/>
  <c r="M15" i="89"/>
  <c r="E26" i="75"/>
  <c r="M22" i="90"/>
  <c r="G26" i="76"/>
  <c r="M18" i="96"/>
  <c r="M16" i="84"/>
  <c r="I31" i="100"/>
  <c r="M23" i="74"/>
  <c r="M15" i="100"/>
  <c r="O15" i="100" s="1"/>
  <c r="M16" i="94"/>
  <c r="M16" i="95"/>
  <c r="M18" i="98"/>
  <c r="G26" i="75"/>
  <c r="M20" i="81"/>
  <c r="M16" i="88"/>
  <c r="M14" i="75"/>
  <c r="K26" i="75"/>
  <c r="M23" i="96"/>
  <c r="M22" i="92"/>
  <c r="M15" i="76"/>
  <c r="M22" i="100"/>
  <c r="O22" i="100" s="1"/>
  <c r="I26" i="84"/>
  <c r="E31" i="103"/>
  <c r="M14" i="103"/>
  <c r="M22" i="89"/>
  <c r="M24" i="102"/>
  <c r="O24" i="102" s="1"/>
  <c r="E26" i="93"/>
  <c r="M21" i="74"/>
  <c r="M15" i="83"/>
  <c r="M15" i="74"/>
  <c r="M20" i="76"/>
  <c r="I31" i="102"/>
  <c r="M20" i="100"/>
  <c r="O20" i="100" s="1"/>
  <c r="M17" i="100"/>
  <c r="O17" i="100" s="1"/>
  <c r="E31" i="99"/>
  <c r="E26" i="97"/>
  <c r="M16" i="90"/>
  <c r="M17" i="92"/>
  <c r="M22" i="83"/>
  <c r="I26" i="90"/>
  <c r="M17" i="83"/>
  <c r="M15" i="102"/>
  <c r="O15" i="102" s="1"/>
  <c r="G26" i="74"/>
  <c r="M14" i="91"/>
  <c r="K26" i="91"/>
  <c r="E26" i="96"/>
  <c r="M15" i="82"/>
  <c r="M22" i="84"/>
  <c r="E26" i="74"/>
  <c r="M18" i="93"/>
  <c r="K31" i="102"/>
  <c r="M21" i="83"/>
  <c r="M19" i="87"/>
  <c r="M24" i="103"/>
  <c r="O24" i="103" s="1"/>
  <c r="M23" i="84"/>
  <c r="M22" i="10"/>
  <c r="O22" i="10" s="1"/>
  <c r="M23" i="88"/>
  <c r="M22" i="99"/>
  <c r="O22" i="99" s="1"/>
  <c r="I26" i="87"/>
  <c r="I14" i="83"/>
  <c r="M23" i="95"/>
  <c r="G26" i="80"/>
  <c r="M20" i="79"/>
  <c r="G31" i="100"/>
  <c r="M22" i="88"/>
  <c r="M19" i="90"/>
  <c r="M19" i="77"/>
  <c r="M17" i="85"/>
  <c r="M23" i="85"/>
  <c r="M15" i="93"/>
  <c r="M23" i="76"/>
  <c r="M21" i="76"/>
  <c r="M20" i="77"/>
  <c r="G26" i="92"/>
  <c r="M17" i="86"/>
  <c r="M20" i="89"/>
  <c r="M24" i="100"/>
  <c r="O24" i="100" s="1"/>
  <c r="M15" i="95"/>
  <c r="G26" i="85"/>
  <c r="M22" i="97"/>
  <c r="M20" i="88"/>
  <c r="M20" i="10"/>
  <c r="O20" i="10" s="1"/>
  <c r="M18" i="100"/>
  <c r="O18" i="100" s="1"/>
  <c r="M20" i="92"/>
  <c r="M22" i="94"/>
  <c r="M15" i="88"/>
  <c r="M16" i="86"/>
  <c r="M21" i="10"/>
  <c r="O21" i="10" s="1"/>
  <c r="I26" i="89"/>
  <c r="M18" i="77"/>
  <c r="M17" i="95"/>
  <c r="M17" i="103"/>
  <c r="O17" i="103" s="1"/>
  <c r="M23" i="101"/>
  <c r="O23" i="101" s="1"/>
  <c r="M14" i="90"/>
  <c r="K26" i="90"/>
  <c r="M19" i="94"/>
  <c r="M16" i="99"/>
  <c r="O16" i="99" s="1"/>
  <c r="M19" i="82"/>
  <c r="M16" i="103"/>
  <c r="O16" i="103" s="1"/>
  <c r="M15" i="97"/>
  <c r="M23" i="79"/>
  <c r="G26" i="88"/>
  <c r="I26" i="94"/>
  <c r="M22" i="93"/>
  <c r="M15" i="80"/>
  <c r="M15" i="84"/>
  <c r="M18" i="74"/>
  <c r="G26" i="78"/>
  <c r="M16" i="91"/>
  <c r="M18" i="81"/>
  <c r="E26" i="79"/>
  <c r="M20" i="95"/>
  <c r="M22" i="81"/>
  <c r="M16" i="82"/>
  <c r="I31" i="101"/>
  <c r="M14" i="95"/>
  <c r="K26" i="95"/>
  <c r="E26" i="86"/>
  <c r="M17" i="88"/>
  <c r="M16" i="75"/>
  <c r="G26" i="89"/>
  <c r="M20" i="103"/>
  <c r="O20" i="103" s="1"/>
  <c r="E31" i="100"/>
  <c r="M19" i="89"/>
  <c r="M18" i="83"/>
  <c r="M23" i="80"/>
  <c r="M18" i="78"/>
  <c r="M22" i="95"/>
  <c r="G26" i="94"/>
  <c r="M20" i="80"/>
  <c r="E26" i="80"/>
  <c r="M16" i="78"/>
  <c r="E26" i="95"/>
  <c r="M16" i="76"/>
  <c r="M21" i="85"/>
  <c r="O17" i="85" l="1"/>
  <c r="L16" i="42"/>
  <c r="T14" i="42"/>
  <c r="O21" i="83"/>
  <c r="O14" i="91"/>
  <c r="F22" i="42"/>
  <c r="M26" i="91"/>
  <c r="P11" i="42"/>
  <c r="O19" i="80"/>
  <c r="H25" i="42"/>
  <c r="O15" i="94"/>
  <c r="O14" i="81"/>
  <c r="F12" i="42"/>
  <c r="M26" i="81"/>
  <c r="O21" i="88"/>
  <c r="T19" i="42"/>
  <c r="O18" i="84"/>
  <c r="N15" i="42"/>
  <c r="M26" i="85"/>
  <c r="F16" i="42"/>
  <c r="O14" i="85"/>
  <c r="F28" i="42"/>
  <c r="M26" i="97"/>
  <c r="O14" i="97"/>
  <c r="L24" i="42"/>
  <c r="O17" i="93"/>
  <c r="F23" i="42"/>
  <c r="M26" i="92"/>
  <c r="O14" i="92"/>
  <c r="N16" i="42"/>
  <c r="O18" i="85"/>
  <c r="O16" i="97"/>
  <c r="J28" i="42"/>
  <c r="O23" i="92"/>
  <c r="X23" i="42"/>
  <c r="O17" i="81"/>
  <c r="L12" i="42"/>
  <c r="O17" i="80"/>
  <c r="L11" i="42"/>
  <c r="O22" i="76"/>
  <c r="V7" i="42"/>
  <c r="O16" i="87"/>
  <c r="J18" i="42"/>
  <c r="O23" i="94"/>
  <c r="X25" i="42"/>
  <c r="V13" i="42"/>
  <c r="O22" i="82"/>
  <c r="O17" i="91"/>
  <c r="L22" i="42"/>
  <c r="O14" i="102"/>
  <c r="M31" i="102"/>
  <c r="T25" i="42"/>
  <c r="O21" i="94"/>
  <c r="L10" i="42"/>
  <c r="O17" i="79"/>
  <c r="O17" i="76"/>
  <c r="L7" i="42"/>
  <c r="O14" i="95"/>
  <c r="F26" i="42"/>
  <c r="M26" i="95"/>
  <c r="H7" i="42"/>
  <c r="O15" i="76"/>
  <c r="N5" i="42"/>
  <c r="O18" i="74"/>
  <c r="L26" i="42"/>
  <c r="O17" i="95"/>
  <c r="O17" i="86"/>
  <c r="L17" i="42"/>
  <c r="P8" i="42"/>
  <c r="O19" i="77"/>
  <c r="V23" i="42"/>
  <c r="O22" i="92"/>
  <c r="O16" i="95"/>
  <c r="J26" i="42"/>
  <c r="V21" i="42"/>
  <c r="O22" i="90"/>
  <c r="X9" i="42"/>
  <c r="O23" i="78"/>
  <c r="M26" i="78"/>
  <c r="F9" i="42"/>
  <c r="O14" i="78"/>
  <c r="M26" i="88"/>
  <c r="O14" i="88"/>
  <c r="F19" i="42"/>
  <c r="O16" i="96"/>
  <c r="J27" i="42"/>
  <c r="O16" i="92"/>
  <c r="J23" i="42"/>
  <c r="X17" i="42"/>
  <c r="O23" i="86"/>
  <c r="F8" i="42"/>
  <c r="O14" i="77"/>
  <c r="M26" i="77"/>
  <c r="O14" i="86"/>
  <c r="M26" i="86"/>
  <c r="F17" i="42"/>
  <c r="M31" i="10"/>
  <c r="O14" i="10"/>
  <c r="M31" i="99"/>
  <c r="O14" i="99"/>
  <c r="F5" i="42"/>
  <c r="O14" i="74"/>
  <c r="M26" i="74"/>
  <c r="O22" i="77"/>
  <c r="V8" i="42"/>
  <c r="H18" i="42"/>
  <c r="O15" i="87"/>
  <c r="O18" i="87"/>
  <c r="N18" i="42"/>
  <c r="O23" i="81"/>
  <c r="X12" i="42"/>
  <c r="H27" i="42"/>
  <c r="O15" i="96"/>
  <c r="V5" i="42"/>
  <c r="O22" i="74"/>
  <c r="O20" i="93"/>
  <c r="R24" i="42"/>
  <c r="L27" i="42"/>
  <c r="O17" i="96"/>
  <c r="N21" i="42"/>
  <c r="O18" i="90"/>
  <c r="R11" i="42"/>
  <c r="O20" i="80"/>
  <c r="J13" i="42"/>
  <c r="O16" i="82"/>
  <c r="H15" i="42"/>
  <c r="O15" i="84"/>
  <c r="P13" i="42"/>
  <c r="O19" i="82"/>
  <c r="N8" i="42"/>
  <c r="O18" i="77"/>
  <c r="P21" i="42"/>
  <c r="O19" i="90"/>
  <c r="N24" i="42"/>
  <c r="O18" i="93"/>
  <c r="X27" i="42"/>
  <c r="O23" i="96"/>
  <c r="O16" i="94"/>
  <c r="J25" i="42"/>
  <c r="O18" i="82"/>
  <c r="N13" i="42"/>
  <c r="O18" i="80"/>
  <c r="N11" i="42"/>
  <c r="H10" i="42"/>
  <c r="O15" i="79"/>
  <c r="F15" i="42"/>
  <c r="M26" i="84"/>
  <c r="O14" i="84"/>
  <c r="O23" i="93"/>
  <c r="X24" i="42"/>
  <c r="O15" i="78"/>
  <c r="H9" i="42"/>
  <c r="F29" i="42"/>
  <c r="M26" i="98"/>
  <c r="O14" i="98"/>
  <c r="O15" i="92"/>
  <c r="H23" i="42"/>
  <c r="T13" i="42"/>
  <c r="O21" i="82"/>
  <c r="O23" i="98"/>
  <c r="X29" i="42"/>
  <c r="T8" i="42"/>
  <c r="O21" i="77"/>
  <c r="F25" i="42"/>
  <c r="O14" i="94"/>
  <c r="M26" i="94"/>
  <c r="O15" i="91"/>
  <c r="H22" i="42"/>
  <c r="V18" i="42"/>
  <c r="O22" i="87"/>
  <c r="V22" i="42"/>
  <c r="O22" i="91"/>
  <c r="L15" i="42"/>
  <c r="O17" i="84"/>
  <c r="O21" i="86"/>
  <c r="T17" i="42"/>
  <c r="T23" i="42"/>
  <c r="O21" i="92"/>
  <c r="N6" i="42"/>
  <c r="O18" i="75"/>
  <c r="V10" i="42"/>
  <c r="O22" i="79"/>
  <c r="P27" i="42"/>
  <c r="O19" i="96"/>
  <c r="R23" i="42"/>
  <c r="O20" i="92"/>
  <c r="O21" i="74"/>
  <c r="T5" i="42"/>
  <c r="V12" i="42"/>
  <c r="O22" i="81"/>
  <c r="H11" i="42"/>
  <c r="O15" i="80"/>
  <c r="O20" i="88"/>
  <c r="R19" i="42"/>
  <c r="O20" i="77"/>
  <c r="R8" i="42"/>
  <c r="O22" i="88"/>
  <c r="V19" i="42"/>
  <c r="O23" i="88"/>
  <c r="X19" i="42"/>
  <c r="L14" i="42"/>
  <c r="O17" i="83"/>
  <c r="O22" i="89"/>
  <c r="V20" i="42"/>
  <c r="H20" i="42"/>
  <c r="O15" i="89"/>
  <c r="O18" i="92"/>
  <c r="N23" i="42"/>
  <c r="P16" i="42"/>
  <c r="O19" i="85"/>
  <c r="H8" i="42"/>
  <c r="O15" i="77"/>
  <c r="O18" i="79"/>
  <c r="N10" i="42"/>
  <c r="O21" i="91"/>
  <c r="T22" i="42"/>
  <c r="N26" i="42"/>
  <c r="O18" i="95"/>
  <c r="O20" i="94"/>
  <c r="R25" i="42"/>
  <c r="R6" i="42"/>
  <c r="O20" i="75"/>
  <c r="O20" i="98"/>
  <c r="R29" i="42"/>
  <c r="M26" i="89"/>
  <c r="F20" i="42"/>
  <c r="O14" i="89"/>
  <c r="O16" i="83"/>
  <c r="J14" i="42"/>
  <c r="X13" i="42"/>
  <c r="O23" i="82"/>
  <c r="T15" i="42"/>
  <c r="O21" i="84"/>
  <c r="O15" i="90"/>
  <c r="H21" i="42"/>
  <c r="X18" i="42"/>
  <c r="O23" i="87"/>
  <c r="F18" i="42"/>
  <c r="O14" i="87"/>
  <c r="M26" i="87"/>
  <c r="O16" i="85"/>
  <c r="J16" i="42"/>
  <c r="N22" i="42"/>
  <c r="O18" i="91"/>
  <c r="O22" i="75"/>
  <c r="V6" i="42"/>
  <c r="H17" i="42"/>
  <c r="O15" i="86"/>
  <c r="P6" i="42"/>
  <c r="O19" i="75"/>
  <c r="P24" i="42"/>
  <c r="O19" i="93"/>
  <c r="O18" i="97"/>
  <c r="N28" i="42"/>
  <c r="P23" i="42"/>
  <c r="O19" i="92"/>
  <c r="O19" i="84"/>
  <c r="P15" i="42"/>
  <c r="R20" i="42"/>
  <c r="O20" i="89"/>
  <c r="O18" i="98"/>
  <c r="N29" i="42"/>
  <c r="V26" i="42"/>
  <c r="O22" i="95"/>
  <c r="O16" i="75"/>
  <c r="J6" i="42"/>
  <c r="R26" i="42"/>
  <c r="O20" i="95"/>
  <c r="V24" i="42"/>
  <c r="O22" i="93"/>
  <c r="P25" i="42"/>
  <c r="O19" i="94"/>
  <c r="O22" i="97"/>
  <c r="V28" i="42"/>
  <c r="T7" i="42"/>
  <c r="O21" i="76"/>
  <c r="V15" i="42"/>
  <c r="O22" i="84"/>
  <c r="O14" i="103"/>
  <c r="M31" i="103"/>
  <c r="M26" i="75"/>
  <c r="O14" i="75"/>
  <c r="F6" i="42"/>
  <c r="X5" i="42"/>
  <c r="O23" i="74"/>
  <c r="T20" i="42"/>
  <c r="O21" i="89"/>
  <c r="P28" i="42"/>
  <c r="O19" i="97"/>
  <c r="X14" i="42"/>
  <c r="O23" i="83"/>
  <c r="N19" i="42"/>
  <c r="O18" i="88"/>
  <c r="O16" i="89"/>
  <c r="J20" i="42"/>
  <c r="R9" i="42"/>
  <c r="O20" i="78"/>
  <c r="L18" i="42"/>
  <c r="O17" i="87"/>
  <c r="J24" i="42"/>
  <c r="O16" i="93"/>
  <c r="L28" i="42"/>
  <c r="O17" i="97"/>
  <c r="L29" i="42"/>
  <c r="O17" i="98"/>
  <c r="J8" i="42"/>
  <c r="O16" i="77"/>
  <c r="I26" i="80"/>
  <c r="M14" i="80"/>
  <c r="R17" i="42"/>
  <c r="O20" i="86"/>
  <c r="O17" i="74"/>
  <c r="L5" i="42"/>
  <c r="P17" i="42"/>
  <c r="O19" i="86"/>
  <c r="J29" i="42"/>
  <c r="O16" i="98"/>
  <c r="P10" i="42"/>
  <c r="O19" i="79"/>
  <c r="O14" i="96"/>
  <c r="M26" i="96"/>
  <c r="F27" i="42"/>
  <c r="O22" i="86"/>
  <c r="V17" i="42"/>
  <c r="T9" i="42"/>
  <c r="O21" i="78"/>
  <c r="X28" i="42"/>
  <c r="O23" i="97"/>
  <c r="O14" i="76"/>
  <c r="F7" i="42"/>
  <c r="M26" i="76"/>
  <c r="O17" i="94"/>
  <c r="L25" i="42"/>
  <c r="O16" i="78"/>
  <c r="J9" i="42"/>
  <c r="M14" i="83"/>
  <c r="I26" i="83"/>
  <c r="O21" i="85"/>
  <c r="T16" i="42"/>
  <c r="O18" i="78"/>
  <c r="N9" i="42"/>
  <c r="O17" i="88"/>
  <c r="L19" i="42"/>
  <c r="O16" i="86"/>
  <c r="J17" i="42"/>
  <c r="X7" i="42"/>
  <c r="O23" i="76"/>
  <c r="R10" i="42"/>
  <c r="O20" i="79"/>
  <c r="X15" i="42"/>
  <c r="O23" i="84"/>
  <c r="O15" i="82"/>
  <c r="H13" i="42"/>
  <c r="V14" i="42"/>
  <c r="O22" i="83"/>
  <c r="O20" i="76"/>
  <c r="R7" i="42"/>
  <c r="J19" i="42"/>
  <c r="O16" i="88"/>
  <c r="O21" i="81"/>
  <c r="T12" i="42"/>
  <c r="P9" i="42"/>
  <c r="O19" i="78"/>
  <c r="O22" i="98"/>
  <c r="V29" i="42"/>
  <c r="O22" i="80"/>
  <c r="V11" i="42"/>
  <c r="O20" i="96"/>
  <c r="R27" i="42"/>
  <c r="O19" i="83"/>
  <c r="P14" i="42"/>
  <c r="J12" i="42"/>
  <c r="O16" i="81"/>
  <c r="M31" i="100"/>
  <c r="O14" i="100"/>
  <c r="N25" i="42"/>
  <c r="O18" i="94"/>
  <c r="O22" i="85"/>
  <c r="V16" i="42"/>
  <c r="O15" i="81"/>
  <c r="H12" i="42"/>
  <c r="O14" i="93"/>
  <c r="F24" i="42"/>
  <c r="M26" i="93"/>
  <c r="O21" i="87"/>
  <c r="T18" i="42"/>
  <c r="O21" i="75"/>
  <c r="T6" i="42"/>
  <c r="O17" i="78"/>
  <c r="L9" i="42"/>
  <c r="F13" i="42"/>
  <c r="O14" i="82"/>
  <c r="M26" i="82"/>
  <c r="T21" i="42"/>
  <c r="O21" i="90"/>
  <c r="O16" i="79"/>
  <c r="J10" i="42"/>
  <c r="T27" i="42"/>
  <c r="O21" i="96"/>
  <c r="O20" i="82"/>
  <c r="R13" i="42"/>
  <c r="O15" i="97"/>
  <c r="H28" i="42"/>
  <c r="M26" i="90"/>
  <c r="F21" i="42"/>
  <c r="O14" i="90"/>
  <c r="H19" i="42"/>
  <c r="O15" i="88"/>
  <c r="H26" i="42"/>
  <c r="O15" i="95"/>
  <c r="O15" i="93"/>
  <c r="H24" i="42"/>
  <c r="O17" i="92"/>
  <c r="L23" i="42"/>
  <c r="O15" i="74"/>
  <c r="H5" i="42"/>
  <c r="O20" i="81"/>
  <c r="R12" i="42"/>
  <c r="J15" i="42"/>
  <c r="O16" i="84"/>
  <c r="P5" i="42"/>
  <c r="O19" i="74"/>
  <c r="O17" i="82"/>
  <c r="L13" i="42"/>
  <c r="X22" i="42"/>
  <c r="O23" i="91"/>
  <c r="O17" i="75"/>
  <c r="L6" i="42"/>
  <c r="X20" i="42"/>
  <c r="O23" i="89"/>
  <c r="T29" i="42"/>
  <c r="O21" i="98"/>
  <c r="O20" i="74"/>
  <c r="R5" i="42"/>
  <c r="M31" i="101"/>
  <c r="O14" i="101"/>
  <c r="O15" i="75"/>
  <c r="H6" i="42"/>
  <c r="N20" i="42"/>
  <c r="O18" i="89"/>
  <c r="L20" i="42"/>
  <c r="O17" i="89"/>
  <c r="R21" i="42"/>
  <c r="O20" i="90"/>
  <c r="T11" i="42"/>
  <c r="O21" i="80"/>
  <c r="O17" i="90"/>
  <c r="L21" i="42"/>
  <c r="I26" i="79"/>
  <c r="M14" i="79"/>
  <c r="O20" i="84"/>
  <c r="R15" i="42"/>
  <c r="O21" i="93"/>
  <c r="T24" i="42"/>
  <c r="O21" i="97"/>
  <c r="T28" i="42"/>
  <c r="O19" i="89"/>
  <c r="P20" i="42"/>
  <c r="J7" i="42"/>
  <c r="O16" i="76"/>
  <c r="X11" i="42"/>
  <c r="O23" i="80"/>
  <c r="N12" i="42"/>
  <c r="O18" i="81"/>
  <c r="N14" i="42"/>
  <c r="O18" i="83"/>
  <c r="J22" i="42"/>
  <c r="O16" i="91"/>
  <c r="O23" i="79"/>
  <c r="X10" i="42"/>
  <c r="O22" i="94"/>
  <c r="V25" i="42"/>
  <c r="O23" i="85"/>
  <c r="X16" i="42"/>
  <c r="O23" i="95"/>
  <c r="X26" i="42"/>
  <c r="P18" i="42"/>
  <c r="O19" i="87"/>
  <c r="J21" i="42"/>
  <c r="O16" i="90"/>
  <c r="O15" i="83"/>
  <c r="H14" i="42"/>
  <c r="O18" i="96"/>
  <c r="N27" i="42"/>
  <c r="O21" i="95"/>
  <c r="T26" i="42"/>
  <c r="O23" i="75"/>
  <c r="X6" i="42"/>
  <c r="X8" i="42"/>
  <c r="O23" i="77"/>
  <c r="O19" i="81"/>
  <c r="P12" i="42"/>
  <c r="J5" i="42"/>
  <c r="O16" i="74"/>
  <c r="O19" i="76"/>
  <c r="P7" i="42"/>
  <c r="P29" i="42"/>
  <c r="O19" i="98"/>
  <c r="O20" i="83"/>
  <c r="R14" i="42"/>
  <c r="H29" i="42"/>
  <c r="O15" i="98"/>
  <c r="X21" i="42"/>
  <c r="O23" i="90"/>
  <c r="L8" i="42"/>
  <c r="O17" i="77"/>
  <c r="O16" i="80"/>
  <c r="J11" i="42"/>
  <c r="P26" i="42"/>
  <c r="O19" i="95"/>
  <c r="P22" i="42"/>
  <c r="O19" i="91"/>
  <c r="O22" i="96"/>
  <c r="V27" i="42"/>
  <c r="O15" i="85"/>
  <c r="H16" i="42"/>
  <c r="T10" i="42"/>
  <c r="O21" i="79"/>
  <c r="R22" i="42"/>
  <c r="O20" i="91"/>
  <c r="O20" i="97"/>
  <c r="R28" i="42"/>
  <c r="V9" i="42"/>
  <c r="O22" i="78"/>
  <c r="R16" i="42"/>
  <c r="O20" i="85"/>
  <c r="O20" i="87"/>
  <c r="R18" i="42"/>
  <c r="G37" i="37" l="1"/>
  <c r="AL26" i="42"/>
  <c r="M26" i="83"/>
  <c r="O14" i="83"/>
  <c r="F14" i="42"/>
  <c r="G28" i="37"/>
  <c r="AL17" i="42"/>
  <c r="AL9" i="42"/>
  <c r="G20" i="37"/>
  <c r="G24" i="37"/>
  <c r="AL13" i="42"/>
  <c r="AL18" i="42"/>
  <c r="G29" i="37"/>
  <c r="AL28" i="42"/>
  <c r="G39" i="37"/>
  <c r="AL22" i="42"/>
  <c r="G33" i="37"/>
  <c r="AL21" i="42"/>
  <c r="G32" i="37"/>
  <c r="O14" i="80"/>
  <c r="F11" i="42"/>
  <c r="M26" i="80"/>
  <c r="G16" i="37"/>
  <c r="AL5" i="42"/>
  <c r="G23" i="37"/>
  <c r="AL12" i="42"/>
  <c r="G35" i="37"/>
  <c r="AL24" i="42"/>
  <c r="G36" i="37"/>
  <c r="AL25" i="42"/>
  <c r="AL19" i="42"/>
  <c r="G30" i="37"/>
  <c r="AL16" i="42"/>
  <c r="G27" i="37"/>
  <c r="G19" i="37"/>
  <c r="AL8" i="42"/>
  <c r="AL6" i="42"/>
  <c r="G17" i="37"/>
  <c r="G34" i="37"/>
  <c r="AL23" i="42"/>
  <c r="M26" i="79"/>
  <c r="F10" i="42"/>
  <c r="O14" i="79"/>
  <c r="AL7" i="42"/>
  <c r="G18" i="37"/>
  <c r="AL27" i="42"/>
  <c r="G38" i="37"/>
  <c r="G31" i="37"/>
  <c r="AL20" i="42"/>
  <c r="G26" i="37"/>
  <c r="AL15" i="42"/>
  <c r="AL29" i="42"/>
  <c r="G40" i="37"/>
  <c r="AL11" i="42" l="1"/>
  <c r="G22" i="37"/>
  <c r="G25" i="37"/>
  <c r="AL14" i="42"/>
  <c r="G21" i="37"/>
  <c r="AL10" i="42"/>
</calcChain>
</file>

<file path=xl/sharedStrings.xml><?xml version="1.0" encoding="utf-8"?>
<sst xmlns="http://schemas.openxmlformats.org/spreadsheetml/2006/main" count="132" uniqueCount="83">
  <si>
    <t xml:space="preserve">No. </t>
  </si>
  <si>
    <t>Nombre</t>
  </si>
  <si>
    <t>Materia</t>
  </si>
  <si>
    <t>CUADRO DE NOTAS</t>
  </si>
  <si>
    <t>Nombre del Alumno(a):</t>
  </si>
  <si>
    <t>Grado:</t>
  </si>
  <si>
    <t>Sección:</t>
  </si>
  <si>
    <t>Nota Promoción</t>
  </si>
  <si>
    <t>Unidad 1</t>
  </si>
  <si>
    <t>Unidad 3</t>
  </si>
  <si>
    <t>Unidad 4</t>
  </si>
  <si>
    <t>A/R</t>
  </si>
  <si>
    <t>______________________</t>
  </si>
  <si>
    <t>PROMEDIO GENERAL ALUMNO</t>
  </si>
  <si>
    <t>No.</t>
  </si>
  <si>
    <t>Promedio</t>
  </si>
  <si>
    <t>Aprobado/Reprobado</t>
  </si>
  <si>
    <t>Promedio Final</t>
  </si>
  <si>
    <t>Promedio de Unidad</t>
  </si>
  <si>
    <t>Campo</t>
  </si>
  <si>
    <t>Registro</t>
  </si>
  <si>
    <t>Escribir en los espacios en blancos los datos deseados</t>
  </si>
  <si>
    <t>Ciclo Escolar:</t>
  </si>
  <si>
    <t>Ejemplo:</t>
  </si>
  <si>
    <t>A, B, Única</t>
  </si>
  <si>
    <t>Aquí se puede modificar el nombre de cada materia para la boleta</t>
  </si>
  <si>
    <t>tambien puede modificar el orden como son presentados los cursos,</t>
  </si>
  <si>
    <t>Nombre Curso</t>
  </si>
  <si>
    <t>Apellidos y Nombres</t>
  </si>
  <si>
    <t>NOTA IMPORTANTE:</t>
  </si>
  <si>
    <t>Unicamente ingrese informacion y modifique campos en esta hoja "Datos Generales"</t>
  </si>
  <si>
    <t>Datos Generales de Cuadro de Calificaciones</t>
  </si>
  <si>
    <t>e ingrese notas en Unidad 1, 2, 3 y 4</t>
  </si>
  <si>
    <t>Primero Básico</t>
  </si>
  <si>
    <t>en caso, le es mas facil otro orden para ingresar los datos a la WEB del Ministerio de Educacion</t>
  </si>
  <si>
    <t>Aquí puede ingresar el listado general de alumnos que pertenecen a un determinado grado y sección</t>
  </si>
  <si>
    <t>si en tal caso la sección no tiene 26 alumnos, no existe ningún problema, únicamente no llene esta casilla</t>
  </si>
  <si>
    <t>Aquí puede modificar los datos que aparecen en las boletas de calificaciones</t>
  </si>
  <si>
    <t>Ciclo Escolar 2010</t>
  </si>
  <si>
    <t>Tecnología de Información y Comunicación</t>
  </si>
  <si>
    <t>Matemática</t>
  </si>
  <si>
    <t>Educación Física</t>
  </si>
  <si>
    <t>Firma Maestro Guia</t>
  </si>
  <si>
    <t>Centro Socioeducativo "Lic. Magno Rudy Romero Arévalo"</t>
  </si>
  <si>
    <t>Unidad 2</t>
  </si>
  <si>
    <t>"A"</t>
  </si>
  <si>
    <t>Ciclo Escolar 2026</t>
  </si>
  <si>
    <t>Lectura</t>
  </si>
  <si>
    <t>Redacción</t>
  </si>
  <si>
    <t>Idioma Extranjero Inglés</t>
  </si>
  <si>
    <t>Ciclo Diversificado</t>
  </si>
  <si>
    <t>Estadística</t>
  </si>
  <si>
    <t>Química</t>
  </si>
  <si>
    <t>Biología</t>
  </si>
  <si>
    <t>Avilés Palacios, Christopher Alexandro</t>
  </si>
  <si>
    <t>Estrada Kajihara, Yaretzi Hatsue</t>
  </si>
  <si>
    <t>González Contreras, Joseph Ezequías</t>
  </si>
  <si>
    <t>Lee Toribio, Jhefferson Harin</t>
  </si>
  <si>
    <t>Lobos Cedillo, Luis Alejandro</t>
  </si>
  <si>
    <t>López Martínez, Dafne Jasare</t>
  </si>
  <si>
    <t>Lopez Mazate, Angel Mauricio</t>
  </si>
  <si>
    <t>López Yol, Diego Josué</t>
  </si>
  <si>
    <t>Luca Simaj, Maria Fernanda</t>
  </si>
  <si>
    <t>Marroquín Carcúz, Deyuli Mayerli</t>
  </si>
  <si>
    <t>Marroquín Larios, Yasmín Monserrat</t>
  </si>
  <si>
    <t>Marroquín Ramírez, Nilton Alexis</t>
  </si>
  <si>
    <t>Martínez Cuyún, María Inés</t>
  </si>
  <si>
    <t>Mendoza Romero, José Fernando</t>
  </si>
  <si>
    <t>Moctezuma Orenos, Kimberly Gabriela</t>
  </si>
  <si>
    <t>Oliva Romero, Jeremy Guillermo Santiago</t>
  </si>
  <si>
    <t>Pérez Días, Britany Xiomara</t>
  </si>
  <si>
    <t>Pérez Quiñonez, Jonatan Ivan</t>
  </si>
  <si>
    <t>Pichillá Castillo, Andrea Paola</t>
  </si>
  <si>
    <t>Quina Melendez, Erika Yustina</t>
  </si>
  <si>
    <t>Quiñonez García, Estefani Mariela</t>
  </si>
  <si>
    <t>Reyes Romero, José Ángel Estuardo</t>
  </si>
  <si>
    <t>Tejaxun Gil, Oliver Alexander</t>
  </si>
  <si>
    <t>Tubac Paniagua, Walter Saúl</t>
  </si>
  <si>
    <t>López Magarín, Esaú César Armando</t>
  </si>
  <si>
    <t>Quinto Bachillerato</t>
  </si>
  <si>
    <t>Seminario</t>
  </si>
  <si>
    <t>Administración de Empresas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</si>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</sst>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_(* \(#,##0\);_(* &quot;-&quot;??_);_(@_)"/>
  </numFmts>
  <fonts count="25" x14ac:knownFonts="1">
    <font>
      <sz val="11"/>
      <color theme="1"/>
      <name val="Calibri"/>
      <family val="2"/>
      <scheme val="minor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Arial"/>
      <family val="2"/>
    </font>
    <font>
      <sz val="8"/>
      <name val="Calibri"/>
      <family val="2"/>
    </font>
    <font>
      <b/>
      <sz val="11"/>
      <color indexed="8"/>
      <name val="Calibri"/>
      <family val="2"/>
    </font>
    <font>
      <sz val="11"/>
      <color indexed="53"/>
      <name val="Calibri"/>
      <family val="2"/>
    </font>
    <font>
      <i/>
      <sz val="11"/>
      <color indexed="8"/>
      <name val="Calibri"/>
      <family val="2"/>
    </font>
    <font>
      <b/>
      <sz val="14"/>
      <color indexed="10"/>
      <name val="Calibri"/>
      <family val="2"/>
    </font>
    <font>
      <b/>
      <sz val="16"/>
      <color indexed="8"/>
      <name val="Calibri"/>
      <family val="2"/>
    </font>
    <font>
      <sz val="9"/>
      <name val="Calibri"/>
      <family val="2"/>
    </font>
    <font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9C0006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b/>
      <sz val="8"/>
      <name val="Calibri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C7CE"/>
        <bgColor rgb="FFFFC7CE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ABF8F"/>
        <bgColor rgb="FFFABF8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3" fillId="0" borderId="1" xfId="0" applyFont="1" applyBorder="1"/>
    <xf numFmtId="0" fontId="0" fillId="0" borderId="0" xfId="0" applyAlignment="1">
      <alignment horizontal="center"/>
    </xf>
    <xf numFmtId="0" fontId="0" fillId="3" borderId="0" xfId="0" applyFill="1"/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" xfId="0" applyBorder="1"/>
    <xf numFmtId="2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1" xfId="0" applyNumberFormat="1" applyBorder="1"/>
    <xf numFmtId="0" fontId="0" fillId="2" borderId="0" xfId="0" applyFill="1"/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right"/>
    </xf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left" indent="1"/>
    </xf>
    <xf numFmtId="1" fontId="0" fillId="3" borderId="0" xfId="0" applyNumberFormat="1" applyFill="1"/>
    <xf numFmtId="1" fontId="0" fillId="0" borderId="0" xfId="0" quotePrefix="1" applyNumberFormat="1"/>
    <xf numFmtId="1" fontId="4" fillId="0" borderId="3" xfId="0" applyNumberFormat="1" applyFont="1" applyBorder="1" applyAlignment="1">
      <alignment horizontal="right"/>
    </xf>
    <xf numFmtId="1" fontId="4" fillId="0" borderId="4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right"/>
    </xf>
    <xf numFmtId="1" fontId="4" fillId="0" borderId="3" xfId="0" applyNumberFormat="1" applyFont="1" applyBorder="1" applyAlignment="1">
      <alignment horizontal="center"/>
    </xf>
    <xf numFmtId="0" fontId="4" fillId="2" borderId="0" xfId="0" applyFont="1" applyFill="1"/>
    <xf numFmtId="1" fontId="4" fillId="2" borderId="0" xfId="0" applyNumberFormat="1" applyFont="1" applyFill="1"/>
    <xf numFmtId="1" fontId="4" fillId="2" borderId="0" xfId="0" applyNumberFormat="1" applyFont="1" applyFill="1" applyAlignment="1">
      <alignment horizontal="center" vertical="center" textRotation="90"/>
    </xf>
    <xf numFmtId="1" fontId="10" fillId="0" borderId="3" xfId="0" applyNumberFormat="1" applyFont="1" applyBorder="1" applyAlignment="1">
      <alignment horizontal="right"/>
    </xf>
    <xf numFmtId="1" fontId="10" fillId="0" borderId="4" xfId="0" applyNumberFormat="1" applyFont="1" applyBorder="1" applyAlignment="1">
      <alignment horizontal="right"/>
    </xf>
    <xf numFmtId="1" fontId="11" fillId="0" borderId="4" xfId="0" applyNumberFormat="1" applyFont="1" applyBorder="1" applyAlignment="1">
      <alignment horizontal="right"/>
    </xf>
    <xf numFmtId="1" fontId="10" fillId="0" borderId="4" xfId="0" applyNumberFormat="1" applyFont="1" applyBorder="1"/>
    <xf numFmtId="0" fontId="0" fillId="0" borderId="0" xfId="0" quotePrefix="1"/>
    <xf numFmtId="0" fontId="5" fillId="3" borderId="0" xfId="0" applyFont="1" applyFill="1" applyAlignment="1">
      <alignment horizontal="center"/>
    </xf>
    <xf numFmtId="0" fontId="3" fillId="0" borderId="0" xfId="0" applyFont="1"/>
    <xf numFmtId="0" fontId="14" fillId="0" borderId="0" xfId="0" quotePrefix="1" applyFont="1"/>
    <xf numFmtId="0" fontId="14" fillId="0" borderId="0" xfId="0" applyFont="1"/>
    <xf numFmtId="1" fontId="0" fillId="0" borderId="1" xfId="0" applyNumberFormat="1" applyBorder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0" borderId="0" xfId="0" quotePrefix="1" applyNumberFormat="1" applyAlignment="1">
      <alignment horizontal="center"/>
    </xf>
    <xf numFmtId="1" fontId="14" fillId="0" borderId="1" xfId="0" applyNumberFormat="1" applyFont="1" applyBorder="1" applyAlignment="1">
      <alignment horizontal="center"/>
    </xf>
    <xf numFmtId="0" fontId="15" fillId="0" borderId="9" xfId="0" applyFont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1" fontId="17" fillId="0" borderId="9" xfId="0" applyNumberFormat="1" applyFont="1" applyBorder="1" applyAlignment="1">
      <alignment horizontal="right"/>
    </xf>
    <xf numFmtId="1" fontId="18" fillId="0" borderId="9" xfId="0" applyNumberFormat="1" applyFont="1" applyBorder="1" applyAlignment="1">
      <alignment horizontal="center" vertical="center"/>
    </xf>
    <xf numFmtId="1" fontId="15" fillId="0" borderId="9" xfId="0" applyNumberFormat="1" applyFont="1" applyBorder="1" applyAlignment="1">
      <alignment horizontal="right"/>
    </xf>
    <xf numFmtId="0" fontId="13" fillId="6" borderId="9" xfId="0" applyFont="1" applyFill="1" applyBorder="1" applyAlignment="1">
      <alignment wrapText="1"/>
    </xf>
    <xf numFmtId="0" fontId="17" fillId="0" borderId="9" xfId="0" applyFont="1" applyBorder="1" applyAlignment="1">
      <alignment horizontal="right"/>
    </xf>
    <xf numFmtId="0" fontId="16" fillId="5" borderId="9" xfId="0" applyFont="1" applyFill="1" applyBorder="1" applyAlignment="1">
      <alignment horizontal="right"/>
    </xf>
    <xf numFmtId="0" fontId="15" fillId="0" borderId="9" xfId="0" applyFont="1" applyBorder="1" applyAlignment="1">
      <alignment horizontal="right"/>
    </xf>
    <xf numFmtId="1" fontId="15" fillId="0" borderId="9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wrapText="1"/>
    </xf>
    <xf numFmtId="0" fontId="13" fillId="0" borderId="9" xfId="0" applyFont="1" applyBorder="1"/>
    <xf numFmtId="0" fontId="13" fillId="0" borderId="10" xfId="0" applyFont="1" applyBorder="1" applyAlignment="1">
      <alignment wrapText="1"/>
    </xf>
    <xf numFmtId="0" fontId="13" fillId="0" borderId="1" xfId="0" applyFont="1" applyBorder="1" applyAlignment="1">
      <alignment wrapText="1"/>
    </xf>
    <xf numFmtId="164" fontId="19" fillId="0" borderId="1" xfId="0" applyNumberFormat="1" applyFont="1" applyBorder="1" applyAlignment="1">
      <alignment horizontal="left"/>
    </xf>
    <xf numFmtId="0" fontId="17" fillId="0" borderId="1" xfId="0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/>
    <xf numFmtId="0" fontId="15" fillId="0" borderId="11" xfId="0" applyFont="1" applyBorder="1" applyAlignment="1">
      <alignment horizontal="center" vertical="center"/>
    </xf>
    <xf numFmtId="0" fontId="15" fillId="4" borderId="11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7" fillId="0" borderId="10" xfId="0" applyFont="1" applyBorder="1" applyAlignment="1">
      <alignment horizontal="right"/>
    </xf>
    <xf numFmtId="0" fontId="17" fillId="0" borderId="1" xfId="0" applyFont="1" applyBorder="1" applyAlignment="1">
      <alignment horizontal="right"/>
    </xf>
    <xf numFmtId="1" fontId="17" fillId="0" borderId="10" xfId="0" applyNumberFormat="1" applyFont="1" applyBorder="1" applyAlignment="1">
      <alignment horizontal="right"/>
    </xf>
    <xf numFmtId="1" fontId="17" fillId="0" borderId="1" xfId="0" applyNumberFormat="1" applyFont="1" applyBorder="1" applyAlignment="1">
      <alignment horizontal="right"/>
    </xf>
    <xf numFmtId="1" fontId="15" fillId="0" borderId="10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0" fontId="20" fillId="0" borderId="1" xfId="0" applyFont="1" applyBorder="1"/>
    <xf numFmtId="1" fontId="15" fillId="7" borderId="9" xfId="0" applyNumberFormat="1" applyFont="1" applyFill="1" applyBorder="1" applyAlignment="1">
      <alignment horizontal="center" vertical="center"/>
    </xf>
    <xf numFmtId="0" fontId="15" fillId="0" borderId="0" xfId="0" applyFont="1"/>
    <xf numFmtId="1" fontId="19" fillId="0" borderId="9" xfId="0" applyNumberFormat="1" applyFont="1" applyBorder="1" applyAlignment="1">
      <alignment horizontal="center"/>
    </xf>
    <xf numFmtId="1" fontId="19" fillId="6" borderId="9" xfId="0" applyNumberFormat="1" applyFont="1" applyFill="1" applyBorder="1" applyAlignment="1">
      <alignment horizontal="center"/>
    </xf>
    <xf numFmtId="1" fontId="19" fillId="8" borderId="9" xfId="0" applyNumberFormat="1" applyFont="1" applyFill="1" applyBorder="1" applyAlignment="1">
      <alignment horizontal="center"/>
    </xf>
    <xf numFmtId="0" fontId="15" fillId="0" borderId="9" xfId="0" applyFont="1" applyBorder="1"/>
    <xf numFmtId="1" fontId="17" fillId="7" borderId="9" xfId="0" applyNumberFormat="1" applyFont="1" applyFill="1" applyBorder="1" applyAlignment="1">
      <alignment horizontal="right"/>
    </xf>
    <xf numFmtId="1" fontId="16" fillId="5" borderId="9" xfId="0" applyNumberFormat="1" applyFont="1" applyFill="1" applyBorder="1" applyAlignment="1">
      <alignment horizontal="right"/>
    </xf>
    <xf numFmtId="1" fontId="17" fillId="0" borderId="9" xfId="0" applyNumberFormat="1" applyFont="1" applyBorder="1"/>
    <xf numFmtId="0" fontId="17" fillId="0" borderId="9" xfId="0" applyFont="1" applyBorder="1"/>
    <xf numFmtId="0" fontId="17" fillId="0" borderId="13" xfId="0" applyFont="1" applyBorder="1" applyAlignment="1">
      <alignment horizontal="center"/>
    </xf>
    <xf numFmtId="0" fontId="17" fillId="7" borderId="9" xfId="0" applyFont="1" applyFill="1" applyBorder="1" applyAlignment="1">
      <alignment horizontal="center"/>
    </xf>
    <xf numFmtId="1" fontId="14" fillId="3" borderId="0" xfId="0" applyNumberFormat="1" applyFont="1" applyFill="1" applyAlignment="1">
      <alignment horizontal="center"/>
    </xf>
    <xf numFmtId="0" fontId="15" fillId="0" borderId="13" xfId="0" applyFont="1" applyBorder="1" applyAlignment="1">
      <alignment horizontal="center" vertical="center"/>
    </xf>
    <xf numFmtId="1" fontId="1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0" fontId="17" fillId="0" borderId="13" xfId="0" applyFont="1" applyBorder="1" applyAlignment="1">
      <alignment horizontal="right"/>
    </xf>
    <xf numFmtId="1" fontId="17" fillId="0" borderId="13" xfId="0" applyNumberFormat="1" applyFont="1" applyBorder="1" applyAlignment="1">
      <alignment horizontal="right"/>
    </xf>
    <xf numFmtId="1" fontId="15" fillId="0" borderId="13" xfId="0" applyNumberFormat="1" applyFont="1" applyBorder="1" applyAlignment="1">
      <alignment horizontal="center" vertical="center"/>
    </xf>
    <xf numFmtId="1" fontId="21" fillId="0" borderId="3" xfId="0" applyNumberFormat="1" applyFont="1" applyBorder="1" applyAlignment="1">
      <alignment horizontal="center"/>
    </xf>
    <xf numFmtId="1" fontId="22" fillId="6" borderId="9" xfId="0" applyNumberFormat="1" applyFont="1" applyFill="1" applyBorder="1" applyAlignment="1">
      <alignment horizontal="center"/>
    </xf>
    <xf numFmtId="1" fontId="21" fillId="2" borderId="0" xfId="0" applyNumberFormat="1" applyFont="1" applyFill="1"/>
    <xf numFmtId="0" fontId="18" fillId="0" borderId="9" xfId="0" applyFont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1" fontId="22" fillId="8" borderId="9" xfId="0" applyNumberFormat="1" applyFont="1" applyFill="1" applyBorder="1" applyAlignment="1">
      <alignment horizontal="center"/>
    </xf>
    <xf numFmtId="1" fontId="23" fillId="0" borderId="9" xfId="0" applyNumberFormat="1" applyFont="1" applyBorder="1"/>
    <xf numFmtId="1" fontId="23" fillId="0" borderId="9" xfId="0" applyNumberFormat="1" applyFont="1" applyBorder="1" applyAlignment="1">
      <alignment horizontal="right"/>
    </xf>
    <xf numFmtId="1" fontId="0" fillId="9" borderId="1" xfId="0" applyNumberFormat="1" applyFill="1" applyBorder="1" applyAlignment="1">
      <alignment horizontal="center"/>
    </xf>
    <xf numFmtId="1" fontId="14" fillId="10" borderId="1" xfId="0" applyNumberFormat="1" applyFont="1" applyFill="1" applyBorder="1" applyAlignment="1">
      <alignment horizontal="center"/>
    </xf>
    <xf numFmtId="1" fontId="24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1">
    <cellStyle name="Normal" xfId="0" builtinId="0"/>
  </cellStyles>
  <dxfs count="77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42</xdr:row>
          <xdr:rowOff>7620</xdr:rowOff>
        </xdr:from>
        <xdr:to>
          <xdr:col>3</xdr:col>
          <xdr:colOff>1554480</xdr:colOff>
          <xdr:row>44</xdr:row>
          <xdr:rowOff>160020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Boletas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88605</xdr:colOff>
      <xdr:row>0</xdr:row>
      <xdr:rowOff>147674</xdr:rowOff>
    </xdr:from>
    <xdr:to>
      <xdr:col>6</xdr:col>
      <xdr:colOff>601330</xdr:colOff>
      <xdr:row>4</xdr:row>
      <xdr:rowOff>141767</xdr:rowOff>
    </xdr:to>
    <xdr:pic>
      <xdr:nvPicPr>
        <xdr:cNvPr id="3" name="Picture 2" descr="Asociación Los Patojos – Sueños e ideas en acció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0814" y="147674"/>
          <a:ext cx="32004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4" name="Picture 3" descr="Asociación Los Patojos – Sueños e ideas en acció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50"/>
          <a:ext cx="268605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5FC0116B-D704-43AA-A23C-554A3465DA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2A71409B-CCE1-4C9A-AB1C-ED43C7CF08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ECF4ABA0-82F9-4B2A-9FE8-024B36374E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B0B21D0C-DDEF-4A07-A043-1A89D8A25E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42E513F5-B45E-49EE-B3C9-3F971D37C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3EACE549-2CEC-4947-8089-A5DA3E90D2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097D76DA-CD91-49BA-AC15-3D0793491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DC970D77-25B9-4E73-8391-FC7C487CAA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2FAD5AB2-07BB-4232-896D-D1FD07A94F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6E252F1C-36F5-4E51-A994-5C0E624DAB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C352E923-85BA-4461-8A6F-3C3583C6FD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46204EBA-DE1C-44E2-BFF1-6FE04EA60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BC1DED5A-F729-4F3C-AD71-A3302139D8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B3BCC21B-50E4-4A4A-ABD9-45F9DEE5C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CAB77F2B-D2B5-465A-B174-6F1310FC3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AA1A86E0-00B3-4AA9-B530-CA08F7CCF0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91015120-B3C9-4C26-A99B-1522075815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A8F52B56-06A6-46B7-879E-A81F2B6CE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5D1E24ED-5798-4FC4-AC9B-BC2B83484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56D750CF-443F-4368-9B8E-FD3DB9BB3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426B66D1-4041-4DC0-B02D-374432CAF4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6E54B85C-4E26-4DE6-BF95-F9220C6EE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B527E203-2BE1-4176-BEC2-79FDBF229C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9ADEE248-BEC7-4EF1-8ED5-F7978A126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21A25074-06BF-4C6D-9B5B-685BAF31D9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63996E83-FC9B-4564-BDA2-C1230FF8A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EDD3F11B-BE13-493F-AA30-F65D9E36A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F0BFBD4F-19D0-4E23-9174-8A97B2ED9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AAF8AC6E-4ED4-439C-8B51-A72F164BF5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95250</xdr:rowOff>
    </xdr:from>
    <xdr:to>
      <xdr:col>3</xdr:col>
      <xdr:colOff>38100</xdr:colOff>
      <xdr:row>5</xdr:row>
      <xdr:rowOff>9525</xdr:rowOff>
    </xdr:to>
    <xdr:pic>
      <xdr:nvPicPr>
        <xdr:cNvPr id="2" name="Picture 3" descr="Asociación Los Patojos – Sueños e ideas en acción">
          <a:extLst>
            <a:ext uri="{FF2B5EF4-FFF2-40B4-BE49-F238E27FC236}">
              <a16:creationId xmlns:a16="http://schemas.microsoft.com/office/drawing/2014/main" id="{3A1E1C58-5BD3-4A7F-BD9E-0C4D43CDF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" y="278130"/>
          <a:ext cx="2764155" cy="6457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B2:F101"/>
  <sheetViews>
    <sheetView showGridLines="0" topLeftCell="A51" zoomScaleNormal="100" workbookViewId="0">
      <selection activeCell="C44" sqref="C44:C68"/>
    </sheetView>
  </sheetViews>
  <sheetFormatPr baseColWidth="10" defaultColWidth="11.44140625" defaultRowHeight="14.4" x14ac:dyDescent="0.3"/>
  <cols>
    <col min="1" max="1" width="7.109375" customWidth="1"/>
    <col min="2" max="2" width="5.5546875" customWidth="1"/>
    <col min="3" max="3" width="39.88671875" customWidth="1"/>
    <col min="4" max="4" width="34" customWidth="1"/>
    <col min="5" max="5" width="8.88671875" bestFit="1" customWidth="1"/>
    <col min="6" max="6" width="44.109375" customWidth="1"/>
  </cols>
  <sheetData>
    <row r="2" spans="2:6" ht="21" x14ac:dyDescent="0.4">
      <c r="C2" s="116" t="s">
        <v>31</v>
      </c>
      <c r="D2" s="116"/>
    </row>
    <row r="4" spans="2:6" x14ac:dyDescent="0.3">
      <c r="B4" s="25" t="s">
        <v>21</v>
      </c>
      <c r="C4" s="25"/>
      <c r="D4" s="25"/>
    </row>
    <row r="6" spans="2:6" x14ac:dyDescent="0.3">
      <c r="C6" s="22" t="s">
        <v>19</v>
      </c>
      <c r="D6" s="22" t="s">
        <v>20</v>
      </c>
    </row>
    <row r="7" spans="2:6" x14ac:dyDescent="0.3">
      <c r="C7" s="9"/>
    </row>
    <row r="8" spans="2:6" x14ac:dyDescent="0.3">
      <c r="C8" s="23" t="s">
        <v>5</v>
      </c>
      <c r="D8" s="13" t="s">
        <v>79</v>
      </c>
      <c r="E8" s="21" t="s">
        <v>23</v>
      </c>
      <c r="F8" s="20" t="s">
        <v>33</v>
      </c>
    </row>
    <row r="9" spans="2:6" x14ac:dyDescent="0.3">
      <c r="C9" s="23" t="s">
        <v>6</v>
      </c>
      <c r="D9" s="13" t="s">
        <v>45</v>
      </c>
      <c r="E9" s="21" t="s">
        <v>23</v>
      </c>
      <c r="F9" s="20" t="s">
        <v>24</v>
      </c>
    </row>
    <row r="10" spans="2:6" x14ac:dyDescent="0.3">
      <c r="C10" s="23" t="s">
        <v>22</v>
      </c>
      <c r="D10" s="13" t="s">
        <v>46</v>
      </c>
      <c r="E10" s="21" t="s">
        <v>23</v>
      </c>
      <c r="F10" s="20" t="s">
        <v>38</v>
      </c>
    </row>
    <row r="14" spans="2:6" x14ac:dyDescent="0.3">
      <c r="B14" s="24" t="s">
        <v>25</v>
      </c>
    </row>
    <row r="15" spans="2:6" x14ac:dyDescent="0.3">
      <c r="B15" s="24" t="s">
        <v>26</v>
      </c>
    </row>
    <row r="16" spans="2:6" x14ac:dyDescent="0.3">
      <c r="B16" s="24" t="s">
        <v>34</v>
      </c>
    </row>
    <row r="17" spans="3:3" x14ac:dyDescent="0.3">
      <c r="C17" s="24"/>
    </row>
    <row r="19" spans="3:3" x14ac:dyDescent="0.3">
      <c r="C19" s="22" t="s">
        <v>27</v>
      </c>
    </row>
    <row r="21" spans="3:3" x14ac:dyDescent="0.3">
      <c r="C21" s="13" t="s">
        <v>47</v>
      </c>
    </row>
    <row r="22" spans="3:3" x14ac:dyDescent="0.3">
      <c r="C22" s="13" t="s">
        <v>48</v>
      </c>
    </row>
    <row r="23" spans="3:3" x14ac:dyDescent="0.3">
      <c r="C23" s="13" t="s">
        <v>49</v>
      </c>
    </row>
    <row r="24" spans="3:3" x14ac:dyDescent="0.3">
      <c r="C24" s="13" t="s">
        <v>39</v>
      </c>
    </row>
    <row r="25" spans="3:3" x14ac:dyDescent="0.3">
      <c r="C25" s="13" t="s">
        <v>40</v>
      </c>
    </row>
    <row r="26" spans="3:3" x14ac:dyDescent="0.3">
      <c r="C26" s="13" t="s">
        <v>51</v>
      </c>
    </row>
    <row r="27" spans="3:3" x14ac:dyDescent="0.3">
      <c r="C27" s="13" t="s">
        <v>52</v>
      </c>
    </row>
    <row r="28" spans="3:3" x14ac:dyDescent="0.3">
      <c r="C28" s="13" t="s">
        <v>53</v>
      </c>
    </row>
    <row r="29" spans="3:3" x14ac:dyDescent="0.3">
      <c r="C29" s="13" t="s">
        <v>80</v>
      </c>
    </row>
    <row r="30" spans="3:3" x14ac:dyDescent="0.3">
      <c r="C30" s="13" t="s">
        <v>81</v>
      </c>
    </row>
    <row r="31" spans="3:3" x14ac:dyDescent="0.3">
      <c r="C31" s="13" t="s">
        <v>41</v>
      </c>
    </row>
    <row r="32" spans="3:3" x14ac:dyDescent="0.3">
      <c r="C32" s="13"/>
    </row>
    <row r="33" spans="2:6" x14ac:dyDescent="0.3">
      <c r="C33" s="13"/>
    </row>
    <row r="34" spans="2:6" x14ac:dyDescent="0.3">
      <c r="C34" s="13"/>
    </row>
    <row r="35" spans="2:6" x14ac:dyDescent="0.3">
      <c r="C35" s="13"/>
    </row>
    <row r="36" spans="2:6" hidden="1" x14ac:dyDescent="0.3">
      <c r="C36" s="13"/>
    </row>
    <row r="38" spans="2:6" x14ac:dyDescent="0.3">
      <c r="B38" s="24" t="s">
        <v>35</v>
      </c>
    </row>
    <row r="39" spans="2:6" x14ac:dyDescent="0.3">
      <c r="B39" s="24" t="s">
        <v>36</v>
      </c>
    </row>
    <row r="43" spans="2:6" x14ac:dyDescent="0.3">
      <c r="B43" s="22" t="s">
        <v>14</v>
      </c>
      <c r="C43" s="22" t="s">
        <v>28</v>
      </c>
      <c r="E43" s="43"/>
      <c r="F43" s="43"/>
    </row>
    <row r="44" spans="2:6" x14ac:dyDescent="0.3">
      <c r="B44" s="13">
        <v>1</v>
      </c>
      <c r="C44" s="63" t="s">
        <v>54</v>
      </c>
    </row>
    <row r="45" spans="2:6" x14ac:dyDescent="0.3">
      <c r="B45" s="13">
        <v>2</v>
      </c>
      <c r="C45" s="63" t="s">
        <v>55</v>
      </c>
    </row>
    <row r="46" spans="2:6" x14ac:dyDescent="0.3">
      <c r="B46" s="13">
        <v>3</v>
      </c>
      <c r="C46" s="63" t="s">
        <v>56</v>
      </c>
    </row>
    <row r="47" spans="2:6" x14ac:dyDescent="0.3">
      <c r="B47" s="13">
        <v>4</v>
      </c>
      <c r="C47" s="63" t="s">
        <v>57</v>
      </c>
    </row>
    <row r="48" spans="2:6" x14ac:dyDescent="0.3">
      <c r="B48" s="13">
        <v>5</v>
      </c>
      <c r="C48" s="63" t="s">
        <v>58</v>
      </c>
    </row>
    <row r="49" spans="2:6" x14ac:dyDescent="0.3">
      <c r="B49" s="13">
        <v>6</v>
      </c>
      <c r="C49" s="63" t="s">
        <v>59</v>
      </c>
    </row>
    <row r="50" spans="2:6" x14ac:dyDescent="0.3">
      <c r="B50" s="13">
        <v>7</v>
      </c>
      <c r="C50" s="63" t="s">
        <v>60</v>
      </c>
    </row>
    <row r="51" spans="2:6" x14ac:dyDescent="0.3">
      <c r="B51" s="13">
        <v>8</v>
      </c>
      <c r="C51" s="63" t="s">
        <v>61</v>
      </c>
    </row>
    <row r="52" spans="2:6" x14ac:dyDescent="0.3">
      <c r="B52" s="13">
        <v>9</v>
      </c>
      <c r="C52" s="63" t="s">
        <v>62</v>
      </c>
    </row>
    <row r="53" spans="2:6" x14ac:dyDescent="0.3">
      <c r="B53" s="13">
        <v>10</v>
      </c>
      <c r="C53" s="63" t="s">
        <v>63</v>
      </c>
      <c r="F53" s="44"/>
    </row>
    <row r="54" spans="2:6" x14ac:dyDescent="0.3">
      <c r="B54" s="13">
        <v>11</v>
      </c>
      <c r="C54" s="63" t="s">
        <v>64</v>
      </c>
      <c r="F54" s="44"/>
    </row>
    <row r="55" spans="2:6" x14ac:dyDescent="0.3">
      <c r="B55" s="13">
        <v>12</v>
      </c>
      <c r="C55" s="63" t="s">
        <v>65</v>
      </c>
      <c r="F55" s="44"/>
    </row>
    <row r="56" spans="2:6" x14ac:dyDescent="0.3">
      <c r="B56" s="13">
        <v>13</v>
      </c>
      <c r="C56" s="63" t="s">
        <v>66</v>
      </c>
      <c r="F56" s="44"/>
    </row>
    <row r="57" spans="2:6" x14ac:dyDescent="0.3">
      <c r="B57" s="13">
        <v>14</v>
      </c>
      <c r="C57" s="63" t="s">
        <v>67</v>
      </c>
      <c r="F57" s="44"/>
    </row>
    <row r="58" spans="2:6" x14ac:dyDescent="0.3">
      <c r="B58" s="13">
        <v>15</v>
      </c>
      <c r="C58" s="63" t="s">
        <v>68</v>
      </c>
      <c r="F58" s="44"/>
    </row>
    <row r="59" spans="2:6" x14ac:dyDescent="0.3">
      <c r="B59" s="13">
        <v>16</v>
      </c>
      <c r="C59" s="64" t="s">
        <v>69</v>
      </c>
      <c r="F59" s="44"/>
    </row>
    <row r="60" spans="2:6" x14ac:dyDescent="0.3">
      <c r="B60" s="13">
        <v>17</v>
      </c>
      <c r="C60" s="63" t="s">
        <v>70</v>
      </c>
      <c r="F60" s="44"/>
    </row>
    <row r="61" spans="2:6" x14ac:dyDescent="0.3">
      <c r="B61" s="13">
        <v>18</v>
      </c>
      <c r="C61" s="63" t="s">
        <v>71</v>
      </c>
      <c r="F61" s="44"/>
    </row>
    <row r="62" spans="2:6" x14ac:dyDescent="0.3">
      <c r="B62" s="13">
        <v>19</v>
      </c>
      <c r="C62" s="63" t="s">
        <v>72</v>
      </c>
      <c r="F62" s="44"/>
    </row>
    <row r="63" spans="2:6" x14ac:dyDescent="0.3">
      <c r="B63" s="13">
        <v>20</v>
      </c>
      <c r="C63" s="63" t="s">
        <v>73</v>
      </c>
      <c r="F63" s="44"/>
    </row>
    <row r="64" spans="2:6" x14ac:dyDescent="0.3">
      <c r="B64" s="13">
        <v>21</v>
      </c>
      <c r="C64" s="63" t="s">
        <v>74</v>
      </c>
      <c r="F64" s="44"/>
    </row>
    <row r="65" spans="2:6" x14ac:dyDescent="0.3">
      <c r="B65" s="13">
        <v>22</v>
      </c>
      <c r="C65" s="63" t="s">
        <v>75</v>
      </c>
      <c r="F65" s="44"/>
    </row>
    <row r="66" spans="2:6" x14ac:dyDescent="0.3">
      <c r="B66" s="13">
        <v>23</v>
      </c>
      <c r="C66" s="65" t="s">
        <v>76</v>
      </c>
      <c r="F66" s="44"/>
    </row>
    <row r="67" spans="2:6" x14ac:dyDescent="0.3">
      <c r="B67" s="13">
        <v>24</v>
      </c>
      <c r="C67" s="66" t="s">
        <v>77</v>
      </c>
      <c r="F67" s="44"/>
    </row>
    <row r="68" spans="2:6" x14ac:dyDescent="0.3">
      <c r="B68" s="13">
        <v>25</v>
      </c>
      <c r="C68" s="67" t="s">
        <v>78</v>
      </c>
      <c r="F68" s="44"/>
    </row>
    <row r="69" spans="2:6" x14ac:dyDescent="0.3">
      <c r="B69" s="13">
        <v>26</v>
      </c>
      <c r="C69" s="58"/>
      <c r="F69" s="44"/>
    </row>
    <row r="70" spans="2:6" x14ac:dyDescent="0.3">
      <c r="B70" s="13">
        <v>27</v>
      </c>
      <c r="C70" s="58"/>
    </row>
    <row r="71" spans="2:6" x14ac:dyDescent="0.3">
      <c r="B71" s="13">
        <v>28</v>
      </c>
      <c r="C71" s="7"/>
    </row>
    <row r="72" spans="2:6" x14ac:dyDescent="0.3">
      <c r="B72" s="13">
        <v>29</v>
      </c>
      <c r="C72" s="7"/>
    </row>
    <row r="73" spans="2:6" x14ac:dyDescent="0.3">
      <c r="B73" s="13">
        <v>30</v>
      </c>
      <c r="C73" s="7"/>
    </row>
    <row r="74" spans="2:6" x14ac:dyDescent="0.3">
      <c r="B74" s="13">
        <v>31</v>
      </c>
      <c r="C74" s="7"/>
    </row>
    <row r="75" spans="2:6" x14ac:dyDescent="0.3">
      <c r="B75" s="13">
        <v>32</v>
      </c>
      <c r="C75" s="7"/>
    </row>
    <row r="76" spans="2:6" x14ac:dyDescent="0.3">
      <c r="B76" s="13">
        <v>33</v>
      </c>
      <c r="C76" s="7"/>
    </row>
    <row r="77" spans="2:6" x14ac:dyDescent="0.3">
      <c r="B77" s="13">
        <v>34</v>
      </c>
      <c r="C77" s="7"/>
    </row>
    <row r="78" spans="2:6" x14ac:dyDescent="0.3">
      <c r="B78" s="13">
        <v>35</v>
      </c>
      <c r="C78" s="7"/>
    </row>
    <row r="81" spans="2:3" x14ac:dyDescent="0.3">
      <c r="B81" t="s">
        <v>37</v>
      </c>
    </row>
    <row r="83" spans="2:3" x14ac:dyDescent="0.3">
      <c r="C83" t="s">
        <v>43</v>
      </c>
    </row>
    <row r="84" spans="2:3" x14ac:dyDescent="0.3">
      <c r="C84" t="s">
        <v>50</v>
      </c>
    </row>
    <row r="85" spans="2:3" x14ac:dyDescent="0.3">
      <c r="C85" t="s">
        <v>3</v>
      </c>
    </row>
    <row r="86" spans="2:3" x14ac:dyDescent="0.3">
      <c r="C86" t="s">
        <v>4</v>
      </c>
    </row>
    <row r="87" spans="2:3" x14ac:dyDescent="0.3">
      <c r="C87" t="s">
        <v>5</v>
      </c>
    </row>
    <row r="88" spans="2:3" x14ac:dyDescent="0.3">
      <c r="C88" t="s">
        <v>6</v>
      </c>
    </row>
    <row r="89" spans="2:3" x14ac:dyDescent="0.3">
      <c r="C89" t="s">
        <v>2</v>
      </c>
    </row>
    <row r="90" spans="2:3" x14ac:dyDescent="0.3">
      <c r="C90" t="s">
        <v>7</v>
      </c>
    </row>
    <row r="91" spans="2:3" x14ac:dyDescent="0.3">
      <c r="C91" t="s">
        <v>8</v>
      </c>
    </row>
    <row r="92" spans="2:3" x14ac:dyDescent="0.3">
      <c r="C92" t="s">
        <v>44</v>
      </c>
    </row>
    <row r="93" spans="2:3" x14ac:dyDescent="0.3">
      <c r="C93" t="s">
        <v>9</v>
      </c>
    </row>
    <row r="94" spans="2:3" x14ac:dyDescent="0.3">
      <c r="C94" t="s">
        <v>10</v>
      </c>
    </row>
    <row r="95" spans="2:3" x14ac:dyDescent="0.3">
      <c r="C95" t="s">
        <v>17</v>
      </c>
    </row>
    <row r="96" spans="2:3" x14ac:dyDescent="0.3">
      <c r="C96" t="s">
        <v>11</v>
      </c>
    </row>
    <row r="97" spans="3:4" x14ac:dyDescent="0.3">
      <c r="C97" t="s">
        <v>18</v>
      </c>
    </row>
    <row r="98" spans="3:4" x14ac:dyDescent="0.3">
      <c r="C98" t="s">
        <v>42</v>
      </c>
    </row>
    <row r="100" spans="3:4" ht="18" x14ac:dyDescent="0.35">
      <c r="C100" s="26" t="s">
        <v>29</v>
      </c>
      <c r="D100" s="24" t="s">
        <v>30</v>
      </c>
    </row>
    <row r="101" spans="3:4" x14ac:dyDescent="0.3">
      <c r="D101" s="24" t="s">
        <v>32</v>
      </c>
    </row>
  </sheetData>
  <mergeCells count="1">
    <mergeCell ref="C2:D2"/>
  </mergeCells>
  <phoneticPr fontId="4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nerate_CLick">
                <anchor moveWithCells="1">
                  <from>
                    <xdr:col>3</xdr:col>
                    <xdr:colOff>182880</xdr:colOff>
                    <xdr:row>42</xdr:row>
                    <xdr:rowOff>7620</xdr:rowOff>
                  </from>
                  <to>
                    <xdr:col>3</xdr:col>
                    <xdr:colOff>1554480</xdr:colOff>
                    <xdr:row>44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-0.249977111117893"/>
  </sheetPr>
  <dimension ref="A1:AK40"/>
  <sheetViews>
    <sheetView showGridLines="0" topLeftCell="A4" zoomScale="65" zoomScaleNormal="85" workbookViewId="0">
      <selection activeCell="Z27" sqref="Z27"/>
    </sheetView>
  </sheetViews>
  <sheetFormatPr baseColWidth="10" defaultColWidth="11.44140625" defaultRowHeight="14.4" x14ac:dyDescent="0.3"/>
  <cols>
    <col min="1" max="1" width="0.88671875" style="1" customWidth="1"/>
    <col min="2" max="2" width="4.6640625" style="1" customWidth="1"/>
    <col min="3" max="3" width="0.88671875" style="1" customWidth="1"/>
    <col min="4" max="4" width="33.109375" style="1" customWidth="1"/>
    <col min="5" max="5" width="0.88671875" style="1" customWidth="1"/>
    <col min="6" max="6" width="5.6640625" style="1" customWidth="1"/>
    <col min="7" max="7" width="0.88671875" style="1" customWidth="1"/>
    <col min="8" max="8" width="5.6640625" style="1" customWidth="1"/>
    <col min="9" max="9" width="0.88671875" style="1" customWidth="1"/>
    <col min="10" max="10" width="5.6640625" style="1" customWidth="1"/>
    <col min="11" max="11" width="0.88671875" style="1" customWidth="1"/>
    <col min="12" max="12" width="5.6640625" style="1" customWidth="1"/>
    <col min="13" max="13" width="0.88671875" style="1" customWidth="1"/>
    <col min="14" max="14" width="5.6640625" style="1" customWidth="1"/>
    <col min="15" max="15" width="0.88671875" style="1" customWidth="1"/>
    <col min="16" max="16" width="5.6640625" style="1" customWidth="1"/>
    <col min="17" max="17" width="0.88671875" style="1" customWidth="1"/>
    <col min="18" max="18" width="5.6640625" style="1" customWidth="1"/>
    <col min="19" max="19" width="0.88671875" style="1" customWidth="1"/>
    <col min="20" max="20" width="5.6640625" style="1" customWidth="1"/>
    <col min="21" max="21" width="0.88671875" style="1" customWidth="1"/>
    <col min="22" max="22" width="5.6640625" style="1" customWidth="1"/>
    <col min="23" max="23" width="0.88671875" style="1" customWidth="1"/>
    <col min="24" max="24" width="5.6640625" style="1" customWidth="1"/>
    <col min="25" max="25" width="0.88671875" style="1" customWidth="1"/>
    <col min="26" max="26" width="5.6640625" style="1" customWidth="1"/>
    <col min="27" max="27" width="0.88671875" style="1" customWidth="1"/>
    <col min="28" max="28" width="5.6640625" style="1" customWidth="1"/>
    <col min="29" max="29" width="0.88671875" customWidth="1"/>
    <col min="30" max="30" width="5.6640625" customWidth="1"/>
    <col min="31" max="31" width="0.88671875" customWidth="1"/>
    <col min="32" max="32" width="5.6640625" customWidth="1"/>
    <col min="33" max="33" width="0.88671875" customWidth="1"/>
    <col min="34" max="34" width="5.6640625" customWidth="1"/>
    <col min="35" max="35" width="0.88671875" customWidth="1"/>
    <col min="36" max="36" width="5.6640625" hidden="1" customWidth="1"/>
    <col min="37" max="37" width="0.88671875" customWidth="1"/>
  </cols>
  <sheetData>
    <row r="1" spans="1:37" ht="9" customHeight="1" x14ac:dyDescent="0.3">
      <c r="E1" s="2"/>
      <c r="F1" s="117" t="s">
        <v>2</v>
      </c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2"/>
    </row>
    <row r="2" spans="1:37" ht="157.5" customHeight="1" x14ac:dyDescent="0.3">
      <c r="D2" s="5" t="str">
        <f>IF('Datos Generales'!D8&lt;&gt;"", 'Datos Generales'!D8, "Grado No Asignado")</f>
        <v>Quinto Bachillerato</v>
      </c>
      <c r="E2" s="2"/>
      <c r="F2" s="112" t="str">
        <f>IF('Datos Generales'!C21&lt;&gt;"", 'Datos Generales'!C21, "")</f>
        <v>Lectura</v>
      </c>
      <c r="G2" s="6"/>
      <c r="H2" s="112" t="str">
        <f>IF('Datos Generales'!C22&lt;&gt;"", 'Datos Generales'!C22, "")</f>
        <v>Redacción</v>
      </c>
      <c r="I2" s="6"/>
      <c r="J2" s="112" t="str">
        <f>IF('Datos Generales'!C23&lt;&gt;"", 'Datos Generales'!C23, "")</f>
        <v>Idioma Extranjero Inglés</v>
      </c>
      <c r="K2" s="6"/>
      <c r="L2" s="112" t="str">
        <f>IF('Datos Generales'!C24&lt;&gt;"", 'Datos Generales'!C24, "")</f>
        <v>Tecnología de Información y Comunicación</v>
      </c>
      <c r="M2" s="6"/>
      <c r="N2" s="112" t="str">
        <f>IF('Datos Generales'!C25&lt;&gt;"", 'Datos Generales'!C25, "")</f>
        <v>Matemática</v>
      </c>
      <c r="O2" s="6"/>
      <c r="P2" s="112" t="str">
        <f>IF('Datos Generales'!C26&lt;&gt;"", 'Datos Generales'!C26, "")</f>
        <v>Estadística</v>
      </c>
      <c r="Q2" s="6"/>
      <c r="R2" s="112" t="str">
        <f>IF('Datos Generales'!C27&lt;&gt;"", 'Datos Generales'!C27, "")</f>
        <v>Química</v>
      </c>
      <c r="S2" s="6"/>
      <c r="T2" s="112" t="str">
        <f>IF('Datos Generales'!C28&lt;&gt;"", 'Datos Generales'!C28, "")</f>
        <v>Biología</v>
      </c>
      <c r="U2" s="6"/>
      <c r="V2" s="112" t="str">
        <f>IF('Datos Generales'!C29&lt;&gt;"", 'Datos Generales'!C29, "")</f>
        <v>Seminario</v>
      </c>
      <c r="W2" s="6"/>
      <c r="X2" s="112" t="str">
        <f>IF('Datos Generales'!C30&lt;&gt;"", 'Datos Generales'!C30, "")</f>
        <v>Administración de Empresas</v>
      </c>
      <c r="Y2" s="6"/>
      <c r="Z2" s="112" t="str">
        <f>IF('Datos Generales'!C31&lt;&gt;"", 'Datos Generales'!C31, "")</f>
        <v>Educación Física</v>
      </c>
      <c r="AA2" s="2"/>
      <c r="AB2" s="112" t="str">
        <f>IF('Datos Generales'!C32&lt;&gt;"",'Datos Generales'!C32, "")</f>
        <v/>
      </c>
      <c r="AC2" s="6"/>
      <c r="AD2" s="112" t="str">
        <f>IF('Datos Generales'!C33&lt;&gt;"",'Datos Generales'!C33, "")</f>
        <v/>
      </c>
      <c r="AE2" s="6"/>
      <c r="AF2" s="112" t="str">
        <f>IF('Datos Generales'!C34&lt;&gt;"", 'Datos Generales'!C34, "")</f>
        <v/>
      </c>
      <c r="AG2" s="6"/>
      <c r="AH2" s="112" t="str">
        <f>IF('Datos Generales'!C35&lt;&gt;"", 'Datos Generales'!C35, "")</f>
        <v/>
      </c>
      <c r="AI2" s="2"/>
      <c r="AJ2" s="112">
        <f>'Datos Generales'!C36</f>
        <v>0</v>
      </c>
      <c r="AK2" s="2"/>
    </row>
    <row r="3" spans="1:37" ht="7.5" customHeight="1" x14ac:dyDescent="0.3">
      <c r="A3" s="2"/>
      <c r="B3" s="2"/>
      <c r="C3" s="2"/>
      <c r="D3" s="2"/>
      <c r="E3" s="2"/>
      <c r="F3" s="113"/>
      <c r="G3" s="2"/>
      <c r="H3" s="113"/>
      <c r="I3" s="2"/>
      <c r="J3" s="113"/>
      <c r="K3" s="2"/>
      <c r="L3" s="113"/>
      <c r="M3" s="2"/>
      <c r="N3" s="113"/>
      <c r="O3" s="2"/>
      <c r="P3" s="113"/>
      <c r="Q3" s="2"/>
      <c r="R3" s="113"/>
      <c r="S3" s="2"/>
      <c r="T3" s="113"/>
      <c r="U3" s="2"/>
      <c r="V3" s="113"/>
      <c r="W3" s="2"/>
      <c r="X3" s="113"/>
      <c r="Y3" s="2"/>
      <c r="Z3" s="113"/>
      <c r="AA3" s="2"/>
      <c r="AB3" s="113"/>
      <c r="AC3" s="6"/>
      <c r="AD3" s="113"/>
      <c r="AE3" s="2"/>
      <c r="AF3" s="113"/>
      <c r="AG3" s="2"/>
      <c r="AH3" s="113"/>
      <c r="AI3" s="2"/>
      <c r="AJ3" s="113"/>
      <c r="AK3" s="2"/>
    </row>
    <row r="4" spans="1:37" ht="15" thickBot="1" x14ac:dyDescent="0.35">
      <c r="A4" s="2"/>
      <c r="B4" s="3" t="s">
        <v>0</v>
      </c>
      <c r="C4" s="2"/>
      <c r="D4" s="3" t="s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6"/>
      <c r="AD4" s="2"/>
      <c r="AE4" s="2"/>
      <c r="AF4" s="2"/>
      <c r="AG4" s="2"/>
      <c r="AH4" s="2"/>
      <c r="AI4" s="2"/>
      <c r="AJ4" s="2"/>
      <c r="AK4" s="2"/>
    </row>
    <row r="5" spans="1:37" ht="15" thickBot="1" x14ac:dyDescent="0.35">
      <c r="A5" s="2"/>
      <c r="B5" s="4">
        <v>1</v>
      </c>
      <c r="C5" s="2"/>
      <c r="D5" s="7" t="str">
        <f>IF('Datos Generales'!C44&lt;&gt;"", 'Datos Generales'!C44, "")</f>
        <v>Avilés Palacios, Christopher Alexandro</v>
      </c>
      <c r="E5" s="2"/>
      <c r="F5" s="53">
        <v>84</v>
      </c>
      <c r="G5" s="36"/>
      <c r="H5" s="53">
        <v>84</v>
      </c>
      <c r="I5" s="36"/>
      <c r="J5" s="82">
        <v>49</v>
      </c>
      <c r="K5" s="36"/>
      <c r="L5" s="51">
        <v>38</v>
      </c>
      <c r="M5" s="36"/>
      <c r="N5" s="72">
        <v>60</v>
      </c>
      <c r="O5" s="36"/>
      <c r="P5" s="51">
        <v>56</v>
      </c>
      <c r="Q5" s="36"/>
      <c r="R5" s="60">
        <v>50</v>
      </c>
      <c r="S5" s="36"/>
      <c r="T5" s="55">
        <v>80</v>
      </c>
      <c r="U5" s="36"/>
      <c r="V5" s="62">
        <v>85</v>
      </c>
      <c r="W5" s="36"/>
      <c r="X5" s="51">
        <v>81</v>
      </c>
      <c r="Y5" s="36"/>
      <c r="Z5" s="62">
        <v>88</v>
      </c>
      <c r="AA5" s="36"/>
      <c r="AB5" s="62"/>
      <c r="AC5" s="37"/>
      <c r="AD5" s="38"/>
      <c r="AE5" s="36"/>
      <c r="AF5" s="34"/>
      <c r="AG5" s="36"/>
      <c r="AH5" s="31"/>
      <c r="AI5" s="36"/>
      <c r="AJ5" s="31"/>
      <c r="AK5" s="2"/>
    </row>
    <row r="6" spans="1:37" ht="15" thickBot="1" x14ac:dyDescent="0.35">
      <c r="A6" s="2"/>
      <c r="B6" s="4">
        <v>2</v>
      </c>
      <c r="C6" s="2"/>
      <c r="D6" s="7" t="str">
        <f>IF('Datos Generales'!C45&lt;&gt;"", 'Datos Generales'!C45, "")</f>
        <v>Estrada Kajihara, Yaretzi Hatsue</v>
      </c>
      <c r="E6" s="2"/>
      <c r="F6" s="53">
        <v>88</v>
      </c>
      <c r="G6" s="36"/>
      <c r="H6" s="53">
        <v>88</v>
      </c>
      <c r="I6" s="36"/>
      <c r="J6" s="82">
        <v>88</v>
      </c>
      <c r="K6" s="36"/>
      <c r="L6" s="51">
        <v>85</v>
      </c>
      <c r="M6" s="36"/>
      <c r="N6" s="72">
        <v>84</v>
      </c>
      <c r="O6" s="36"/>
      <c r="P6" s="51">
        <v>99</v>
      </c>
      <c r="Q6" s="36"/>
      <c r="R6" s="59">
        <v>92</v>
      </c>
      <c r="S6" s="36"/>
      <c r="T6" s="55">
        <v>77</v>
      </c>
      <c r="U6" s="36"/>
      <c r="V6" s="62">
        <v>95</v>
      </c>
      <c r="W6" s="36"/>
      <c r="X6" s="51">
        <v>92</v>
      </c>
      <c r="Y6" s="36"/>
      <c r="Z6" s="62">
        <v>82</v>
      </c>
      <c r="AA6" s="36"/>
      <c r="AB6" s="62"/>
      <c r="AC6" s="37"/>
      <c r="AD6" s="39"/>
      <c r="AE6" s="36"/>
      <c r="AF6" s="32"/>
      <c r="AG6" s="36"/>
      <c r="AH6" s="33"/>
      <c r="AI6" s="36"/>
      <c r="AJ6" s="33"/>
      <c r="AK6" s="2"/>
    </row>
    <row r="7" spans="1:37" ht="15" thickBot="1" x14ac:dyDescent="0.35">
      <c r="A7" s="2"/>
      <c r="B7" s="4">
        <v>3</v>
      </c>
      <c r="C7" s="2"/>
      <c r="D7" s="7" t="str">
        <f>IF('Datos Generales'!C46&lt;&gt;"", 'Datos Generales'!C46, "")</f>
        <v>González Contreras, Joseph Ezequías</v>
      </c>
      <c r="E7" s="2"/>
      <c r="F7" s="53">
        <v>96</v>
      </c>
      <c r="G7" s="36"/>
      <c r="H7" s="53">
        <v>96</v>
      </c>
      <c r="I7" s="36"/>
      <c r="J7" s="82">
        <v>82</v>
      </c>
      <c r="K7" s="36"/>
      <c r="L7" s="51">
        <v>90</v>
      </c>
      <c r="M7" s="36"/>
      <c r="N7" s="72">
        <v>61</v>
      </c>
      <c r="O7" s="36"/>
      <c r="P7" s="51">
        <v>56</v>
      </c>
      <c r="Q7" s="36"/>
      <c r="R7" s="59">
        <v>79</v>
      </c>
      <c r="S7" s="36"/>
      <c r="T7" s="55">
        <v>88</v>
      </c>
      <c r="U7" s="36"/>
      <c r="V7" s="62">
        <v>90</v>
      </c>
      <c r="W7" s="36"/>
      <c r="X7" s="51">
        <v>81</v>
      </c>
      <c r="Y7" s="36"/>
      <c r="Z7" s="62">
        <v>80</v>
      </c>
      <c r="AA7" s="36"/>
      <c r="AB7" s="62"/>
      <c r="AC7" s="37"/>
      <c r="AD7" s="39"/>
      <c r="AE7" s="36"/>
      <c r="AF7" s="32"/>
      <c r="AG7" s="36"/>
      <c r="AH7" s="33"/>
      <c r="AI7" s="36"/>
      <c r="AJ7" s="33"/>
      <c r="AK7" s="2"/>
    </row>
    <row r="8" spans="1:37" ht="15" thickBot="1" x14ac:dyDescent="0.35">
      <c r="A8" s="2"/>
      <c r="B8" s="4">
        <v>4</v>
      </c>
      <c r="C8" s="2"/>
      <c r="D8" s="7" t="str">
        <f>IF('Datos Generales'!C47&lt;&gt;"", 'Datos Generales'!C47, "")</f>
        <v>Lee Toribio, Jhefferson Harin</v>
      </c>
      <c r="E8" s="2"/>
      <c r="F8" s="53">
        <v>90</v>
      </c>
      <c r="G8" s="36"/>
      <c r="H8" s="53">
        <v>90</v>
      </c>
      <c r="I8" s="36"/>
      <c r="J8" s="82">
        <v>81</v>
      </c>
      <c r="K8" s="36"/>
      <c r="L8" s="51">
        <v>83</v>
      </c>
      <c r="M8" s="36"/>
      <c r="N8" s="72">
        <v>85</v>
      </c>
      <c r="O8" s="36"/>
      <c r="P8" s="51">
        <v>87</v>
      </c>
      <c r="Q8" s="36"/>
      <c r="R8" s="59">
        <v>80</v>
      </c>
      <c r="S8" s="36"/>
      <c r="T8" s="55">
        <v>90</v>
      </c>
      <c r="U8" s="36"/>
      <c r="V8" s="62">
        <v>95</v>
      </c>
      <c r="W8" s="36"/>
      <c r="X8" s="51">
        <v>96</v>
      </c>
      <c r="Y8" s="36"/>
      <c r="Z8" s="62">
        <v>85</v>
      </c>
      <c r="AA8" s="36"/>
      <c r="AB8" s="62"/>
      <c r="AC8" s="37"/>
      <c r="AD8" s="39"/>
      <c r="AE8" s="36"/>
      <c r="AF8" s="32"/>
      <c r="AG8" s="36"/>
      <c r="AH8" s="33"/>
      <c r="AI8" s="36"/>
      <c r="AJ8" s="33"/>
      <c r="AK8" s="2"/>
    </row>
    <row r="9" spans="1:37" ht="15" thickBot="1" x14ac:dyDescent="0.35">
      <c r="A9" s="2"/>
      <c r="B9" s="4">
        <v>5</v>
      </c>
      <c r="C9" s="2"/>
      <c r="D9" s="7" t="str">
        <f>IF('Datos Generales'!C48&lt;&gt;"", 'Datos Generales'!C48, "")</f>
        <v>Lobos Cedillo, Luis Alejandro</v>
      </c>
      <c r="E9" s="2"/>
      <c r="F9" s="53">
        <v>75</v>
      </c>
      <c r="G9" s="36"/>
      <c r="H9" s="53">
        <v>75</v>
      </c>
      <c r="I9" s="36"/>
      <c r="J9" s="82">
        <v>73</v>
      </c>
      <c r="K9" s="36"/>
      <c r="L9" s="52">
        <v>40</v>
      </c>
      <c r="M9" s="36"/>
      <c r="N9" s="73">
        <v>61</v>
      </c>
      <c r="O9" s="36"/>
      <c r="P9" s="52">
        <v>68</v>
      </c>
      <c r="Q9" s="36"/>
      <c r="R9" s="59">
        <v>62</v>
      </c>
      <c r="S9" s="36"/>
      <c r="T9" s="55">
        <v>82</v>
      </c>
      <c r="U9" s="36"/>
      <c r="V9" s="62">
        <v>95</v>
      </c>
      <c r="W9" s="36"/>
      <c r="X9" s="52">
        <v>93</v>
      </c>
      <c r="Y9" s="36"/>
      <c r="Z9" s="62">
        <v>90</v>
      </c>
      <c r="AA9" s="36"/>
      <c r="AB9" s="62"/>
      <c r="AC9" s="37"/>
      <c r="AD9" s="39"/>
      <c r="AE9" s="36"/>
      <c r="AF9" s="32"/>
      <c r="AG9" s="36"/>
      <c r="AH9" s="33"/>
      <c r="AI9" s="36"/>
      <c r="AJ9" s="33"/>
      <c r="AK9" s="2"/>
    </row>
    <row r="10" spans="1:37" ht="15" thickBot="1" x14ac:dyDescent="0.35">
      <c r="A10" s="2"/>
      <c r="B10" s="4">
        <v>6</v>
      </c>
      <c r="C10" s="2"/>
      <c r="D10" s="7" t="str">
        <f>IF('Datos Generales'!C49&lt;&gt;"", 'Datos Generales'!C49, "")</f>
        <v>López Martínez, Dafne Jasare</v>
      </c>
      <c r="E10" s="2"/>
      <c r="F10" s="53">
        <v>83</v>
      </c>
      <c r="G10" s="36"/>
      <c r="H10" s="53">
        <v>83</v>
      </c>
      <c r="I10" s="36"/>
      <c r="J10" s="82">
        <v>37</v>
      </c>
      <c r="K10" s="36"/>
      <c r="L10" s="52">
        <v>92</v>
      </c>
      <c r="M10" s="36"/>
      <c r="N10" s="73">
        <v>67</v>
      </c>
      <c r="O10" s="36"/>
      <c r="P10" s="52">
        <v>39</v>
      </c>
      <c r="Q10" s="36"/>
      <c r="R10" s="59">
        <v>81</v>
      </c>
      <c r="S10" s="36"/>
      <c r="T10" s="55">
        <v>85</v>
      </c>
      <c r="U10" s="36"/>
      <c r="V10" s="62">
        <v>80</v>
      </c>
      <c r="W10" s="36"/>
      <c r="X10" s="52">
        <v>84</v>
      </c>
      <c r="Y10" s="36"/>
      <c r="Z10" s="62">
        <v>75</v>
      </c>
      <c r="AA10" s="36"/>
      <c r="AB10" s="56"/>
      <c r="AC10" s="37"/>
      <c r="AD10" s="39"/>
      <c r="AE10" s="36"/>
      <c r="AF10" s="32"/>
      <c r="AG10" s="36"/>
      <c r="AH10" s="33"/>
      <c r="AI10" s="36"/>
      <c r="AJ10" s="33"/>
      <c r="AK10" s="2"/>
    </row>
    <row r="11" spans="1:37" ht="15" thickBot="1" x14ac:dyDescent="0.35">
      <c r="A11" s="2"/>
      <c r="B11" s="4">
        <v>7</v>
      </c>
      <c r="C11" s="2"/>
      <c r="D11" s="7" t="str">
        <f>IF('Datos Generales'!C50&lt;&gt;"", 'Datos Generales'!C50, "")</f>
        <v>Lopez Mazate, Angel Mauricio</v>
      </c>
      <c r="E11" s="2"/>
      <c r="F11" s="53">
        <v>75</v>
      </c>
      <c r="G11" s="36"/>
      <c r="H11" s="53">
        <v>75</v>
      </c>
      <c r="I11" s="36"/>
      <c r="J11" s="82">
        <v>55</v>
      </c>
      <c r="K11" s="36"/>
      <c r="L11" s="52">
        <v>75</v>
      </c>
      <c r="M11" s="36"/>
      <c r="N11" s="73">
        <v>41</v>
      </c>
      <c r="O11" s="36"/>
      <c r="P11" s="52">
        <v>88</v>
      </c>
      <c r="Q11" s="36"/>
      <c r="R11" s="59">
        <v>64</v>
      </c>
      <c r="S11" s="36"/>
      <c r="T11" s="55">
        <v>74</v>
      </c>
      <c r="U11" s="36"/>
      <c r="V11" s="62">
        <v>85</v>
      </c>
      <c r="W11" s="36"/>
      <c r="X11" s="52">
        <v>65</v>
      </c>
      <c r="Y11" s="36"/>
      <c r="Z11" s="62">
        <v>60</v>
      </c>
      <c r="AA11" s="36"/>
      <c r="AB11" s="56"/>
      <c r="AC11" s="37"/>
      <c r="AD11" s="39"/>
      <c r="AE11" s="36"/>
      <c r="AF11" s="32"/>
      <c r="AG11" s="36"/>
      <c r="AH11" s="33"/>
      <c r="AI11" s="36"/>
      <c r="AJ11" s="33"/>
      <c r="AK11" s="2"/>
    </row>
    <row r="12" spans="1:37" ht="15" thickBot="1" x14ac:dyDescent="0.35">
      <c r="A12" s="2"/>
      <c r="B12" s="4">
        <v>8</v>
      </c>
      <c r="C12" s="2"/>
      <c r="D12" s="7" t="str">
        <f>IF('Datos Generales'!C51&lt;&gt;"", 'Datos Generales'!C51, "")</f>
        <v>López Yol, Diego Josué</v>
      </c>
      <c r="E12" s="2"/>
      <c r="F12" s="53">
        <v>87</v>
      </c>
      <c r="G12" s="36"/>
      <c r="H12" s="53">
        <v>87</v>
      </c>
      <c r="I12" s="36"/>
      <c r="J12" s="62">
        <v>60</v>
      </c>
      <c r="K12" s="36"/>
      <c r="L12" s="51">
        <v>78</v>
      </c>
      <c r="M12" s="36"/>
      <c r="N12" s="73">
        <v>53</v>
      </c>
      <c r="O12" s="36"/>
      <c r="P12" s="51">
        <v>68</v>
      </c>
      <c r="Q12" s="36"/>
      <c r="R12" s="59">
        <v>62</v>
      </c>
      <c r="S12" s="36"/>
      <c r="T12" s="55">
        <v>79</v>
      </c>
      <c r="U12" s="36"/>
      <c r="V12" s="62">
        <v>85</v>
      </c>
      <c r="W12" s="36"/>
      <c r="X12" s="51">
        <v>77</v>
      </c>
      <c r="Y12" s="36"/>
      <c r="Z12" s="62">
        <v>90</v>
      </c>
      <c r="AA12" s="36"/>
      <c r="AB12" s="56"/>
      <c r="AC12" s="37"/>
      <c r="AD12" s="39"/>
      <c r="AE12" s="36"/>
      <c r="AF12" s="32"/>
      <c r="AG12" s="36"/>
      <c r="AH12" s="33"/>
      <c r="AI12" s="36"/>
      <c r="AJ12" s="33"/>
      <c r="AK12" s="2"/>
    </row>
    <row r="13" spans="1:37" ht="15" thickBot="1" x14ac:dyDescent="0.35">
      <c r="A13" s="2"/>
      <c r="B13" s="4">
        <v>9</v>
      </c>
      <c r="C13" s="2"/>
      <c r="D13" s="7" t="str">
        <f>IF('Datos Generales'!C52&lt;&gt;"", 'Datos Generales'!C52, "")</f>
        <v>Luca Simaj, Maria Fernanda</v>
      </c>
      <c r="E13" s="2"/>
      <c r="F13" s="53">
        <v>76</v>
      </c>
      <c r="G13" s="36"/>
      <c r="H13" s="53">
        <v>76</v>
      </c>
      <c r="I13" s="36"/>
      <c r="J13" s="62">
        <v>74</v>
      </c>
      <c r="K13" s="36"/>
      <c r="L13" s="51">
        <v>81</v>
      </c>
      <c r="M13" s="36"/>
      <c r="N13" s="73">
        <v>67</v>
      </c>
      <c r="O13" s="36"/>
      <c r="P13" s="51">
        <v>82</v>
      </c>
      <c r="Q13" s="36"/>
      <c r="R13" s="59">
        <v>65</v>
      </c>
      <c r="S13" s="36"/>
      <c r="T13" s="55">
        <v>67</v>
      </c>
      <c r="U13" s="36"/>
      <c r="V13" s="62">
        <v>90</v>
      </c>
      <c r="W13" s="36"/>
      <c r="X13" s="51">
        <v>81</v>
      </c>
      <c r="Y13" s="36"/>
      <c r="Z13" s="62">
        <v>75</v>
      </c>
      <c r="AA13" s="36"/>
      <c r="AB13" s="56"/>
      <c r="AC13" s="37"/>
      <c r="AD13" s="39"/>
      <c r="AE13" s="36"/>
      <c r="AF13" s="32"/>
      <c r="AG13" s="36"/>
      <c r="AH13" s="33"/>
      <c r="AI13" s="36"/>
      <c r="AJ13" s="33"/>
      <c r="AK13" s="2"/>
    </row>
    <row r="14" spans="1:37" ht="15" thickBot="1" x14ac:dyDescent="0.35">
      <c r="A14" s="2"/>
      <c r="B14" s="4">
        <v>10</v>
      </c>
      <c r="C14" s="2"/>
      <c r="D14" s="7" t="str">
        <f>IF('Datos Generales'!C53&lt;&gt;"", 'Datos Generales'!C53, "")</f>
        <v>Marroquín Carcúz, Deyuli Mayerli</v>
      </c>
      <c r="E14" s="2"/>
      <c r="F14" s="53">
        <v>96</v>
      </c>
      <c r="G14" s="36"/>
      <c r="H14" s="53">
        <v>96</v>
      </c>
      <c r="I14" s="36"/>
      <c r="J14" s="62">
        <v>100</v>
      </c>
      <c r="K14" s="36"/>
      <c r="L14" s="51">
        <v>85</v>
      </c>
      <c r="M14" s="36"/>
      <c r="N14" s="73">
        <v>85</v>
      </c>
      <c r="O14" s="36"/>
      <c r="P14" s="51">
        <v>100</v>
      </c>
      <c r="Q14" s="36"/>
      <c r="R14" s="59">
        <v>88</v>
      </c>
      <c r="S14" s="36"/>
      <c r="T14" s="55">
        <v>93</v>
      </c>
      <c r="U14" s="36"/>
      <c r="V14" s="62">
        <v>95</v>
      </c>
      <c r="W14" s="36"/>
      <c r="X14" s="51">
        <v>98</v>
      </c>
      <c r="Y14" s="36"/>
      <c r="Z14" s="62">
        <v>90</v>
      </c>
      <c r="AA14" s="36"/>
      <c r="AB14" s="56"/>
      <c r="AC14" s="37"/>
      <c r="AD14" s="39"/>
      <c r="AE14" s="36"/>
      <c r="AF14" s="32"/>
      <c r="AG14" s="36"/>
      <c r="AH14" s="33"/>
      <c r="AI14" s="36"/>
      <c r="AJ14" s="33"/>
      <c r="AK14" s="2"/>
    </row>
    <row r="15" spans="1:37" ht="15" thickBot="1" x14ac:dyDescent="0.35">
      <c r="A15" s="2"/>
      <c r="B15" s="4">
        <v>11</v>
      </c>
      <c r="C15" s="2"/>
      <c r="D15" s="7" t="str">
        <f>IF('Datos Generales'!C54&lt;&gt;"", 'Datos Generales'!C54, "")</f>
        <v>Marroquín Larios, Yasmín Monserrat</v>
      </c>
      <c r="E15" s="2"/>
      <c r="F15" s="53">
        <v>77</v>
      </c>
      <c r="G15" s="36"/>
      <c r="H15" s="53">
        <v>77</v>
      </c>
      <c r="I15" s="36"/>
      <c r="J15" s="62">
        <v>84</v>
      </c>
      <c r="K15" s="36"/>
      <c r="L15" s="51">
        <v>76</v>
      </c>
      <c r="M15" s="36"/>
      <c r="N15" s="73">
        <v>61</v>
      </c>
      <c r="O15" s="36"/>
      <c r="P15" s="51">
        <v>63</v>
      </c>
      <c r="Q15" s="36"/>
      <c r="R15" s="59">
        <v>72</v>
      </c>
      <c r="S15" s="36"/>
      <c r="T15" s="55">
        <v>81</v>
      </c>
      <c r="U15" s="36"/>
      <c r="V15" s="62">
        <v>90</v>
      </c>
      <c r="W15" s="36"/>
      <c r="X15" s="51">
        <v>86</v>
      </c>
      <c r="Y15" s="36"/>
      <c r="Z15" s="62">
        <v>90</v>
      </c>
      <c r="AA15" s="36"/>
      <c r="AB15" s="62"/>
      <c r="AC15" s="37"/>
      <c r="AD15" s="39"/>
      <c r="AE15" s="36"/>
      <c r="AF15" s="32"/>
      <c r="AG15" s="36"/>
      <c r="AH15" s="33"/>
      <c r="AI15" s="36"/>
      <c r="AJ15" s="33"/>
      <c r="AK15" s="2"/>
    </row>
    <row r="16" spans="1:37" ht="15" thickBot="1" x14ac:dyDescent="0.35">
      <c r="A16" s="2"/>
      <c r="B16" s="4">
        <v>12</v>
      </c>
      <c r="C16" s="2"/>
      <c r="D16" s="7" t="str">
        <f>IF('Datos Generales'!C55&lt;&gt;"", 'Datos Generales'!C55, "")</f>
        <v>Marroquín Ramírez, Nilton Alexis</v>
      </c>
      <c r="E16" s="2"/>
      <c r="F16" s="53">
        <v>78</v>
      </c>
      <c r="G16" s="36"/>
      <c r="H16" s="53">
        <v>78</v>
      </c>
      <c r="I16" s="36"/>
      <c r="J16" s="62">
        <v>76</v>
      </c>
      <c r="K16" s="36"/>
      <c r="L16" s="51">
        <v>66</v>
      </c>
      <c r="M16" s="36"/>
      <c r="N16" s="73">
        <v>69</v>
      </c>
      <c r="O16" s="36"/>
      <c r="P16" s="51">
        <v>72</v>
      </c>
      <c r="Q16" s="36"/>
      <c r="R16" s="59">
        <v>92</v>
      </c>
      <c r="S16" s="36"/>
      <c r="T16" s="55">
        <v>87</v>
      </c>
      <c r="U16" s="36"/>
      <c r="V16" s="62">
        <v>75</v>
      </c>
      <c r="W16" s="36"/>
      <c r="X16" s="51">
        <v>80</v>
      </c>
      <c r="Y16" s="36"/>
      <c r="Z16" s="62">
        <v>80</v>
      </c>
      <c r="AA16" s="36"/>
      <c r="AB16" s="62"/>
      <c r="AC16" s="37"/>
      <c r="AD16" s="39"/>
      <c r="AE16" s="36"/>
      <c r="AF16" s="32"/>
      <c r="AG16" s="36"/>
      <c r="AH16" s="33"/>
      <c r="AI16" s="36"/>
      <c r="AJ16" s="33"/>
      <c r="AK16" s="2"/>
    </row>
    <row r="17" spans="1:37" ht="15" thickBot="1" x14ac:dyDescent="0.35">
      <c r="A17" s="2"/>
      <c r="B17" s="4">
        <v>13</v>
      </c>
      <c r="C17" s="2"/>
      <c r="D17" s="7" t="str">
        <f>IF('Datos Generales'!C56&lt;&gt;"", 'Datos Generales'!C56, "")</f>
        <v>Martínez Cuyún, María Inés</v>
      </c>
      <c r="E17" s="2"/>
      <c r="F17" s="53">
        <v>95</v>
      </c>
      <c r="G17" s="36"/>
      <c r="H17" s="53">
        <v>95</v>
      </c>
      <c r="I17" s="36"/>
      <c r="J17" s="62">
        <v>72</v>
      </c>
      <c r="K17" s="36"/>
      <c r="L17" s="51">
        <v>89</v>
      </c>
      <c r="M17" s="36"/>
      <c r="N17" s="73">
        <v>48</v>
      </c>
      <c r="O17" s="36"/>
      <c r="P17" s="51">
        <v>64</v>
      </c>
      <c r="Q17" s="36"/>
      <c r="R17" s="59">
        <v>65</v>
      </c>
      <c r="S17" s="36"/>
      <c r="T17" s="55">
        <v>66</v>
      </c>
      <c r="U17" s="36"/>
      <c r="V17" s="62">
        <v>85</v>
      </c>
      <c r="W17" s="36"/>
      <c r="X17" s="51">
        <v>74</v>
      </c>
      <c r="Y17" s="36"/>
      <c r="Z17" s="62">
        <v>90</v>
      </c>
      <c r="AA17" s="36"/>
      <c r="AB17" s="62"/>
      <c r="AC17" s="37"/>
      <c r="AD17" s="39"/>
      <c r="AE17" s="36"/>
      <c r="AF17" s="32"/>
      <c r="AG17" s="36"/>
      <c r="AH17" s="33"/>
      <c r="AI17" s="36"/>
      <c r="AJ17" s="33"/>
      <c r="AK17" s="2"/>
    </row>
    <row r="18" spans="1:37" ht="15" thickBot="1" x14ac:dyDescent="0.35">
      <c r="A18" s="2"/>
      <c r="B18" s="4">
        <v>14</v>
      </c>
      <c r="C18" s="2"/>
      <c r="D18" s="7" t="str">
        <f>IF('Datos Generales'!C57&lt;&gt;"", 'Datos Generales'!C57, "")</f>
        <v>Mendoza Romero, José Fernando</v>
      </c>
      <c r="E18" s="2"/>
      <c r="F18" s="53">
        <v>88</v>
      </c>
      <c r="G18" s="36"/>
      <c r="H18" s="53">
        <v>88</v>
      </c>
      <c r="I18" s="36"/>
      <c r="J18" s="62">
        <v>70</v>
      </c>
      <c r="K18" s="36"/>
      <c r="L18" s="51">
        <v>82</v>
      </c>
      <c r="M18" s="36"/>
      <c r="N18" s="73">
        <v>62</v>
      </c>
      <c r="O18" s="36"/>
      <c r="P18" s="51">
        <v>85</v>
      </c>
      <c r="Q18" s="36"/>
      <c r="R18" s="59">
        <v>61</v>
      </c>
      <c r="S18" s="36"/>
      <c r="T18" s="55">
        <v>72</v>
      </c>
      <c r="U18" s="36"/>
      <c r="V18" s="62">
        <v>85</v>
      </c>
      <c r="W18" s="36"/>
      <c r="X18" s="51">
        <v>88</v>
      </c>
      <c r="Y18" s="36"/>
      <c r="Z18" s="62">
        <v>88</v>
      </c>
      <c r="AA18" s="36"/>
      <c r="AB18" s="62"/>
      <c r="AC18" s="37"/>
      <c r="AD18" s="39"/>
      <c r="AE18" s="36"/>
      <c r="AF18" s="32"/>
      <c r="AG18" s="36"/>
      <c r="AH18" s="33"/>
      <c r="AI18" s="36"/>
      <c r="AJ18" s="33"/>
      <c r="AK18" s="2"/>
    </row>
    <row r="19" spans="1:37" ht="15" thickBot="1" x14ac:dyDescent="0.35">
      <c r="A19" s="2"/>
      <c r="B19" s="4">
        <v>15</v>
      </c>
      <c r="C19" s="2"/>
      <c r="D19" s="7" t="str">
        <f>IF('Datos Generales'!C58&lt;&gt;"", 'Datos Generales'!C58, "")</f>
        <v>Moctezuma Orenos, Kimberly Gabriela</v>
      </c>
      <c r="E19" s="2"/>
      <c r="F19" s="53">
        <v>74</v>
      </c>
      <c r="G19" s="36"/>
      <c r="H19" s="53">
        <v>74</v>
      </c>
      <c r="I19" s="36"/>
      <c r="J19" s="62">
        <v>76</v>
      </c>
      <c r="K19" s="36"/>
      <c r="L19" s="51">
        <v>88</v>
      </c>
      <c r="M19" s="36"/>
      <c r="N19" s="73">
        <v>51</v>
      </c>
      <c r="O19" s="36"/>
      <c r="P19" s="51">
        <v>63</v>
      </c>
      <c r="Q19" s="36"/>
      <c r="R19" s="59">
        <v>78</v>
      </c>
      <c r="S19" s="36"/>
      <c r="T19" s="55">
        <v>77</v>
      </c>
      <c r="U19" s="36"/>
      <c r="V19" s="62"/>
      <c r="W19" s="36"/>
      <c r="X19" s="51">
        <v>76</v>
      </c>
      <c r="Y19" s="36"/>
      <c r="Z19" s="62">
        <v>70</v>
      </c>
      <c r="AA19" s="36"/>
      <c r="AB19" s="62"/>
      <c r="AC19" s="37"/>
      <c r="AD19" s="39"/>
      <c r="AE19" s="36"/>
      <c r="AF19" s="32"/>
      <c r="AG19" s="36"/>
      <c r="AH19" s="33"/>
      <c r="AI19" s="36"/>
      <c r="AJ19" s="33"/>
      <c r="AK19" s="2"/>
    </row>
    <row r="20" spans="1:37" ht="15" thickBot="1" x14ac:dyDescent="0.35">
      <c r="A20" s="2"/>
      <c r="B20" s="4">
        <v>16</v>
      </c>
      <c r="C20" s="2"/>
      <c r="D20" s="7" t="str">
        <f>IF('Datos Generales'!C59&lt;&gt;"", 'Datos Generales'!C59, "")</f>
        <v>Oliva Romero, Jeremy Guillermo Santiago</v>
      </c>
      <c r="E20" s="2"/>
      <c r="F20" s="53">
        <v>95</v>
      </c>
      <c r="G20" s="36"/>
      <c r="H20" s="53">
        <v>95</v>
      </c>
      <c r="I20" s="36"/>
      <c r="J20" s="62">
        <v>94</v>
      </c>
      <c r="K20" s="36"/>
      <c r="L20" s="51">
        <v>93</v>
      </c>
      <c r="M20" s="36"/>
      <c r="N20" s="72">
        <v>75</v>
      </c>
      <c r="O20" s="36"/>
      <c r="P20" s="51">
        <v>100</v>
      </c>
      <c r="Q20" s="36"/>
      <c r="R20" s="59">
        <v>93</v>
      </c>
      <c r="S20" s="36"/>
      <c r="T20" s="55">
        <v>98</v>
      </c>
      <c r="U20" s="36"/>
      <c r="V20" s="62">
        <v>95</v>
      </c>
      <c r="W20" s="36"/>
      <c r="X20" s="51">
        <v>85</v>
      </c>
      <c r="Y20" s="36"/>
      <c r="Z20" s="62">
        <v>100</v>
      </c>
      <c r="AA20" s="36"/>
      <c r="AB20" s="62"/>
      <c r="AC20" s="37"/>
      <c r="AD20" s="39"/>
      <c r="AE20" s="36"/>
      <c r="AF20" s="32"/>
      <c r="AG20" s="36"/>
      <c r="AH20" s="33"/>
      <c r="AI20" s="36"/>
      <c r="AJ20" s="33"/>
      <c r="AK20" s="2"/>
    </row>
    <row r="21" spans="1:37" ht="15" thickBot="1" x14ac:dyDescent="0.35">
      <c r="A21" s="2"/>
      <c r="B21" s="4">
        <v>17</v>
      </c>
      <c r="C21" s="2"/>
      <c r="D21" s="7" t="str">
        <f>IF('Datos Generales'!C60&lt;&gt;"", 'Datos Generales'!C60, "")</f>
        <v>Pérez Días, Britany Xiomara</v>
      </c>
      <c r="E21" s="2"/>
      <c r="F21" s="53">
        <v>89</v>
      </c>
      <c r="G21" s="36"/>
      <c r="H21" s="53">
        <v>89</v>
      </c>
      <c r="I21" s="36"/>
      <c r="J21" s="62">
        <v>90</v>
      </c>
      <c r="K21" s="36"/>
      <c r="L21" s="51">
        <v>85</v>
      </c>
      <c r="M21" s="36"/>
      <c r="N21" s="72">
        <v>60</v>
      </c>
      <c r="O21" s="36"/>
      <c r="P21" s="51">
        <v>51</v>
      </c>
      <c r="Q21" s="36"/>
      <c r="R21" s="59">
        <v>74</v>
      </c>
      <c r="S21" s="36"/>
      <c r="T21" s="55">
        <v>89</v>
      </c>
      <c r="U21" s="36"/>
      <c r="V21" s="62">
        <v>90</v>
      </c>
      <c r="W21" s="36"/>
      <c r="X21" s="51">
        <v>71</v>
      </c>
      <c r="Y21" s="36"/>
      <c r="Z21" s="62">
        <v>80</v>
      </c>
      <c r="AA21" s="36"/>
      <c r="AB21" s="62"/>
      <c r="AC21" s="37"/>
      <c r="AD21" s="39"/>
      <c r="AE21" s="36"/>
      <c r="AF21" s="32"/>
      <c r="AG21" s="36"/>
      <c r="AH21" s="33"/>
      <c r="AI21" s="36"/>
      <c r="AJ21" s="33"/>
      <c r="AK21" s="2"/>
    </row>
    <row r="22" spans="1:37" ht="15" thickBot="1" x14ac:dyDescent="0.35">
      <c r="A22" s="2"/>
      <c r="B22" s="4">
        <v>18</v>
      </c>
      <c r="C22" s="2"/>
      <c r="D22" s="7" t="str">
        <f>IF('Datos Generales'!C61&lt;&gt;"", 'Datos Generales'!C61, "")</f>
        <v>Pérez Quiñonez, Jonatan Ivan</v>
      </c>
      <c r="E22" s="2"/>
      <c r="F22" s="53">
        <v>88</v>
      </c>
      <c r="G22" s="36"/>
      <c r="H22" s="53">
        <v>88</v>
      </c>
      <c r="I22" s="36"/>
      <c r="J22" s="62">
        <v>78</v>
      </c>
      <c r="K22" s="36"/>
      <c r="L22" s="51">
        <v>76</v>
      </c>
      <c r="M22" s="36"/>
      <c r="N22" s="72">
        <v>49</v>
      </c>
      <c r="O22" s="36"/>
      <c r="P22" s="51">
        <v>79</v>
      </c>
      <c r="Q22" s="36"/>
      <c r="R22" s="61">
        <v>62</v>
      </c>
      <c r="S22" s="36"/>
      <c r="T22" s="57">
        <v>73</v>
      </c>
      <c r="U22" s="36"/>
      <c r="V22" s="62">
        <v>75</v>
      </c>
      <c r="W22" s="36"/>
      <c r="X22" s="51">
        <v>79</v>
      </c>
      <c r="Y22" s="36"/>
      <c r="Z22" s="62">
        <v>100</v>
      </c>
      <c r="AA22" s="36"/>
      <c r="AB22" s="62"/>
      <c r="AC22" s="37"/>
      <c r="AD22" s="39"/>
      <c r="AE22" s="36"/>
      <c r="AF22" s="32"/>
      <c r="AG22" s="36"/>
      <c r="AH22" s="33"/>
      <c r="AI22" s="36"/>
      <c r="AJ22" s="33"/>
      <c r="AK22" s="2"/>
    </row>
    <row r="23" spans="1:37" ht="15" thickBot="1" x14ac:dyDescent="0.35">
      <c r="A23" s="2"/>
      <c r="B23" s="4">
        <v>19</v>
      </c>
      <c r="C23" s="2"/>
      <c r="D23" s="7" t="str">
        <f>IF('Datos Generales'!C62&lt;&gt;"", 'Datos Generales'!C62, "")</f>
        <v>Pichillá Castillo, Andrea Paola</v>
      </c>
      <c r="E23" s="2"/>
      <c r="F23" s="53">
        <v>80</v>
      </c>
      <c r="G23" s="36"/>
      <c r="H23" s="53">
        <v>80</v>
      </c>
      <c r="I23" s="36"/>
      <c r="J23" s="62">
        <v>81</v>
      </c>
      <c r="K23" s="36"/>
      <c r="L23" s="51">
        <v>82</v>
      </c>
      <c r="M23" s="36"/>
      <c r="N23" s="72">
        <v>63</v>
      </c>
      <c r="O23" s="36"/>
      <c r="P23" s="51">
        <v>86</v>
      </c>
      <c r="Q23" s="36"/>
      <c r="R23" s="59">
        <v>90</v>
      </c>
      <c r="S23" s="36"/>
      <c r="T23" s="55">
        <v>88</v>
      </c>
      <c r="U23" s="36"/>
      <c r="V23" s="62">
        <v>95</v>
      </c>
      <c r="W23" s="36"/>
      <c r="X23" s="51">
        <v>92</v>
      </c>
      <c r="Y23" s="36"/>
      <c r="Z23" s="62">
        <v>80</v>
      </c>
      <c r="AA23" s="36"/>
      <c r="AB23" s="62"/>
      <c r="AC23" s="37"/>
      <c r="AD23" s="39"/>
      <c r="AE23" s="36"/>
      <c r="AF23" s="32"/>
      <c r="AG23" s="36"/>
      <c r="AH23" s="33"/>
      <c r="AI23" s="36"/>
      <c r="AJ23" s="33"/>
      <c r="AK23" s="2"/>
    </row>
    <row r="24" spans="1:37" ht="15" thickBot="1" x14ac:dyDescent="0.35">
      <c r="A24" s="2"/>
      <c r="B24" s="4">
        <v>20</v>
      </c>
      <c r="C24" s="2"/>
      <c r="D24" s="7" t="str">
        <f>IF('Datos Generales'!C63&lt;&gt;"", 'Datos Generales'!C63, "")</f>
        <v>Quina Melendez, Erika Yustina</v>
      </c>
      <c r="E24" s="2"/>
      <c r="F24" s="53">
        <v>77</v>
      </c>
      <c r="G24" s="36"/>
      <c r="H24" s="53">
        <v>77</v>
      </c>
      <c r="I24" s="36"/>
      <c r="J24" s="82">
        <v>65</v>
      </c>
      <c r="K24" s="36"/>
      <c r="L24" s="51">
        <v>95</v>
      </c>
      <c r="M24" s="36"/>
      <c r="N24" s="72">
        <v>87</v>
      </c>
      <c r="O24" s="36"/>
      <c r="P24" s="51">
        <v>86</v>
      </c>
      <c r="Q24" s="36"/>
      <c r="R24" s="59">
        <v>88</v>
      </c>
      <c r="S24" s="36"/>
      <c r="T24" s="55">
        <v>89</v>
      </c>
      <c r="U24" s="36"/>
      <c r="V24" s="62">
        <v>90</v>
      </c>
      <c r="W24" s="36"/>
      <c r="X24" s="51">
        <v>50</v>
      </c>
      <c r="Y24" s="36"/>
      <c r="Z24" s="62">
        <v>60</v>
      </c>
      <c r="AA24" s="36"/>
      <c r="AB24" s="62"/>
      <c r="AC24" s="37"/>
      <c r="AD24" s="39"/>
      <c r="AE24" s="36"/>
      <c r="AF24" s="32"/>
      <c r="AG24" s="36"/>
      <c r="AH24" s="33"/>
      <c r="AI24" s="36"/>
      <c r="AJ24" s="33"/>
      <c r="AK24" s="2"/>
    </row>
    <row r="25" spans="1:37" ht="15" thickBot="1" x14ac:dyDescent="0.35">
      <c r="A25" s="2"/>
      <c r="B25" s="4">
        <v>21</v>
      </c>
      <c r="C25" s="2"/>
      <c r="D25" s="7" t="str">
        <f>IF('Datos Generales'!C64&lt;&gt;"", 'Datos Generales'!C64, "")</f>
        <v>Quiñonez García, Estefani Mariela</v>
      </c>
      <c r="E25" s="2"/>
      <c r="F25" s="53">
        <v>91</v>
      </c>
      <c r="G25" s="36"/>
      <c r="H25" s="53">
        <v>91</v>
      </c>
      <c r="I25" s="36"/>
      <c r="J25" s="82">
        <v>70</v>
      </c>
      <c r="K25" s="36"/>
      <c r="L25" s="51">
        <v>78</v>
      </c>
      <c r="M25" s="36"/>
      <c r="N25" s="72">
        <v>69</v>
      </c>
      <c r="O25" s="36"/>
      <c r="P25" s="51">
        <v>86</v>
      </c>
      <c r="Q25" s="36"/>
      <c r="R25" s="59">
        <v>61</v>
      </c>
      <c r="S25" s="36"/>
      <c r="T25" s="55">
        <v>81</v>
      </c>
      <c r="U25" s="36"/>
      <c r="V25" s="62">
        <v>90</v>
      </c>
      <c r="W25" s="36"/>
      <c r="X25" s="51">
        <v>78</v>
      </c>
      <c r="Y25" s="36"/>
      <c r="Z25" s="62">
        <v>88</v>
      </c>
      <c r="AA25" s="36"/>
      <c r="AB25" s="62"/>
      <c r="AC25" s="37"/>
      <c r="AD25" s="39"/>
      <c r="AE25" s="36"/>
      <c r="AF25" s="32"/>
      <c r="AG25" s="36"/>
      <c r="AH25" s="33"/>
      <c r="AI25" s="36"/>
      <c r="AJ25" s="33"/>
      <c r="AK25" s="2"/>
    </row>
    <row r="26" spans="1:37" ht="15" thickBot="1" x14ac:dyDescent="0.35">
      <c r="A26" s="2"/>
      <c r="B26" s="4">
        <v>22</v>
      </c>
      <c r="C26" s="2"/>
      <c r="D26" s="7" t="str">
        <f>IF('Datos Generales'!C65&lt;&gt;"", 'Datos Generales'!C65, "")</f>
        <v>Reyes Romero, José Ángel Estuardo</v>
      </c>
      <c r="E26" s="2"/>
      <c r="F26" s="53">
        <v>96</v>
      </c>
      <c r="G26" s="36"/>
      <c r="H26" s="53">
        <v>96</v>
      </c>
      <c r="I26" s="36"/>
      <c r="J26" s="82">
        <v>99</v>
      </c>
      <c r="K26" s="36"/>
      <c r="L26" s="51">
        <v>100</v>
      </c>
      <c r="M26" s="36"/>
      <c r="N26" s="72">
        <v>98</v>
      </c>
      <c r="O26" s="36"/>
      <c r="P26" s="51">
        <v>100</v>
      </c>
      <c r="Q26" s="36"/>
      <c r="R26" s="59">
        <v>80</v>
      </c>
      <c r="S26" s="36"/>
      <c r="T26" s="55">
        <v>82</v>
      </c>
      <c r="U26" s="36"/>
      <c r="V26" s="62">
        <v>95</v>
      </c>
      <c r="W26" s="36"/>
      <c r="X26" s="51">
        <v>99</v>
      </c>
      <c r="Y26" s="36"/>
      <c r="Z26" s="62">
        <v>85</v>
      </c>
      <c r="AA26" s="36"/>
      <c r="AB26" s="62"/>
      <c r="AC26" s="37"/>
      <c r="AD26" s="39"/>
      <c r="AE26" s="36"/>
      <c r="AF26" s="32"/>
      <c r="AG26" s="36"/>
      <c r="AH26" s="33"/>
      <c r="AI26" s="36"/>
      <c r="AJ26" s="33"/>
      <c r="AK26" s="2"/>
    </row>
    <row r="27" spans="1:37" ht="15" thickBot="1" x14ac:dyDescent="0.35">
      <c r="A27" s="2"/>
      <c r="B27" s="4">
        <v>23</v>
      </c>
      <c r="C27" s="2"/>
      <c r="D27" s="7" t="str">
        <f>IF('Datos Generales'!C66&lt;&gt;"", 'Datos Generales'!C66, "")</f>
        <v>Tejaxun Gil, Oliver Alexander</v>
      </c>
      <c r="E27" s="2"/>
      <c r="F27" s="54">
        <v>84</v>
      </c>
      <c r="G27" s="36"/>
      <c r="H27" s="54">
        <v>84</v>
      </c>
      <c r="I27" s="36"/>
      <c r="J27" s="82">
        <v>48</v>
      </c>
      <c r="K27" s="36"/>
      <c r="L27" s="69">
        <v>79</v>
      </c>
      <c r="M27" s="36"/>
      <c r="N27" s="74">
        <v>45</v>
      </c>
      <c r="O27" s="36"/>
      <c r="P27" s="69">
        <v>61</v>
      </c>
      <c r="Q27" s="36"/>
      <c r="R27" s="75">
        <v>79</v>
      </c>
      <c r="S27" s="36"/>
      <c r="T27" s="77">
        <v>90</v>
      </c>
      <c r="U27" s="36"/>
      <c r="V27" s="79"/>
      <c r="W27" s="36"/>
      <c r="X27" s="51">
        <v>60</v>
      </c>
      <c r="Y27" s="36"/>
      <c r="Z27" s="79">
        <v>86</v>
      </c>
      <c r="AA27" s="36"/>
      <c r="AB27" s="62"/>
      <c r="AC27" s="37"/>
      <c r="AD27" s="39"/>
      <c r="AE27" s="36"/>
      <c r="AF27" s="32"/>
      <c r="AG27" s="36"/>
      <c r="AH27" s="33"/>
      <c r="AI27" s="36"/>
      <c r="AJ27" s="33"/>
      <c r="AK27" s="2"/>
    </row>
    <row r="28" spans="1:37" ht="15" thickBot="1" x14ac:dyDescent="0.35">
      <c r="A28" s="2"/>
      <c r="B28" s="4">
        <v>24</v>
      </c>
      <c r="C28" s="2"/>
      <c r="D28" s="7" t="str">
        <f>IF('Datos Generales'!C67&lt;&gt;"", 'Datos Generales'!C67, "")</f>
        <v>Tubac Paniagua, Walter Saúl</v>
      </c>
      <c r="E28" s="2"/>
      <c r="F28" s="68">
        <v>85</v>
      </c>
      <c r="G28" s="36"/>
      <c r="H28" s="68">
        <v>85</v>
      </c>
      <c r="I28" s="36"/>
      <c r="J28" s="82">
        <v>70</v>
      </c>
      <c r="K28" s="36"/>
      <c r="L28" s="70">
        <v>80</v>
      </c>
      <c r="M28" s="36"/>
      <c r="N28" s="70">
        <v>68</v>
      </c>
      <c r="O28" s="36"/>
      <c r="P28" s="70">
        <v>51</v>
      </c>
      <c r="Q28" s="36"/>
      <c r="R28" s="76">
        <v>67</v>
      </c>
      <c r="S28" s="36"/>
      <c r="T28" s="78">
        <v>75</v>
      </c>
      <c r="U28" s="36"/>
      <c r="V28" s="80">
        <v>75</v>
      </c>
      <c r="W28" s="36"/>
      <c r="X28" s="51">
        <v>74</v>
      </c>
      <c r="Y28" s="36"/>
      <c r="Z28" s="80">
        <v>100</v>
      </c>
      <c r="AA28" s="36"/>
      <c r="AB28" s="62"/>
      <c r="AC28" s="37"/>
      <c r="AD28" s="39"/>
      <c r="AE28" s="36"/>
      <c r="AF28" s="32"/>
      <c r="AG28" s="36"/>
      <c r="AH28" s="33"/>
      <c r="AI28" s="36"/>
      <c r="AJ28" s="33"/>
      <c r="AK28" s="2"/>
    </row>
    <row r="29" spans="1:37" ht="15" thickBot="1" x14ac:dyDescent="0.35">
      <c r="A29" s="2"/>
      <c r="B29" s="4">
        <v>25</v>
      </c>
      <c r="C29" s="2"/>
      <c r="D29" s="7" t="str">
        <f>IF('Datos Generales'!C68&lt;&gt;"", 'Datos Generales'!C68, "")</f>
        <v>López Magarín, Esaú César Armando</v>
      </c>
      <c r="E29" s="2"/>
      <c r="F29" s="68">
        <v>77</v>
      </c>
      <c r="G29" s="36"/>
      <c r="H29" s="68">
        <v>77</v>
      </c>
      <c r="I29" s="36"/>
      <c r="J29" s="83">
        <v>71</v>
      </c>
      <c r="K29" s="36"/>
      <c r="L29" s="71">
        <v>67</v>
      </c>
      <c r="M29" s="36"/>
      <c r="N29" s="71"/>
      <c r="O29" s="36"/>
      <c r="P29" s="71">
        <v>48</v>
      </c>
      <c r="Q29" s="36"/>
      <c r="R29" s="76">
        <v>77</v>
      </c>
      <c r="S29" s="36"/>
      <c r="T29" s="76">
        <v>77</v>
      </c>
      <c r="U29" s="36"/>
      <c r="V29" s="13"/>
      <c r="W29" s="36"/>
      <c r="X29" s="83">
        <v>49</v>
      </c>
      <c r="Y29" s="36"/>
      <c r="Z29" s="81">
        <v>90</v>
      </c>
      <c r="AA29" s="36"/>
      <c r="AB29" s="62"/>
      <c r="AC29" s="37"/>
      <c r="AD29" s="39"/>
      <c r="AE29" s="36"/>
      <c r="AF29" s="32"/>
      <c r="AG29" s="36"/>
      <c r="AH29" s="33"/>
      <c r="AI29" s="36"/>
      <c r="AJ29" s="33"/>
      <c r="AK29" s="2"/>
    </row>
    <row r="30" spans="1:37" ht="15" thickBot="1" x14ac:dyDescent="0.35">
      <c r="A30" s="2"/>
      <c r="B30" s="4">
        <v>26</v>
      </c>
      <c r="C30" s="2"/>
      <c r="D30" s="7"/>
      <c r="E30" s="2"/>
      <c r="F30" s="53"/>
      <c r="G30" s="36"/>
      <c r="H30" s="53"/>
      <c r="I30" s="36"/>
      <c r="J30" s="51"/>
      <c r="K30" s="36"/>
      <c r="L30" s="55"/>
      <c r="M30" s="36"/>
      <c r="N30" s="51"/>
      <c r="O30" s="36"/>
      <c r="P30" s="51"/>
      <c r="Q30" s="36"/>
      <c r="R30" s="51"/>
      <c r="S30" s="36"/>
      <c r="T30" s="51"/>
      <c r="U30" s="36"/>
      <c r="V30" s="59"/>
      <c r="W30" s="36"/>
      <c r="X30" s="55"/>
      <c r="Y30" s="36"/>
      <c r="Z30" s="33"/>
      <c r="AA30" s="36"/>
      <c r="AB30" s="62"/>
      <c r="AC30" s="37"/>
      <c r="AD30" s="39"/>
      <c r="AE30" s="36"/>
      <c r="AF30" s="32"/>
      <c r="AG30" s="36"/>
      <c r="AH30" s="33"/>
      <c r="AI30" s="36"/>
      <c r="AJ30" s="33"/>
      <c r="AK30" s="2"/>
    </row>
    <row r="31" spans="1:37" ht="15" thickBot="1" x14ac:dyDescent="0.35">
      <c r="A31" s="2"/>
      <c r="B31" s="4">
        <v>27</v>
      </c>
      <c r="C31" s="2"/>
      <c r="D31" s="7"/>
      <c r="E31" s="2"/>
      <c r="F31" s="53"/>
      <c r="G31" s="36"/>
      <c r="H31" s="53"/>
      <c r="I31" s="36"/>
      <c r="J31" s="51"/>
      <c r="K31" s="36"/>
      <c r="L31" s="39"/>
      <c r="M31" s="36"/>
      <c r="N31" s="51"/>
      <c r="O31" s="36"/>
      <c r="P31" s="51"/>
      <c r="Q31" s="36"/>
      <c r="R31" s="51"/>
      <c r="S31" s="36"/>
      <c r="T31" s="51"/>
      <c r="U31" s="36"/>
      <c r="V31" s="59"/>
      <c r="W31" s="36"/>
      <c r="X31" s="55"/>
      <c r="Y31" s="36"/>
      <c r="Z31" s="33"/>
      <c r="AA31" s="36"/>
      <c r="AB31" s="62"/>
      <c r="AC31" s="37"/>
      <c r="AD31" s="39"/>
      <c r="AE31" s="36"/>
      <c r="AF31" s="32"/>
      <c r="AG31" s="36"/>
      <c r="AH31" s="33"/>
      <c r="AI31" s="36"/>
      <c r="AJ31" s="33"/>
      <c r="AK31" s="2"/>
    </row>
    <row r="32" spans="1:37" ht="15" thickBot="1" x14ac:dyDescent="0.35">
      <c r="A32" s="2"/>
      <c r="B32" s="4">
        <v>28</v>
      </c>
      <c r="C32" s="2"/>
      <c r="D32" s="7"/>
      <c r="E32" s="2"/>
      <c r="F32" s="34"/>
      <c r="G32" s="36"/>
      <c r="H32" s="31"/>
      <c r="I32" s="36"/>
      <c r="J32" s="39"/>
      <c r="K32" s="36"/>
      <c r="L32" s="39"/>
      <c r="M32" s="36"/>
      <c r="N32" s="40"/>
      <c r="O32" s="36"/>
      <c r="P32" s="39"/>
      <c r="Q32" s="36"/>
      <c r="R32" s="33"/>
      <c r="S32" s="36"/>
      <c r="T32" s="33"/>
      <c r="U32" s="36"/>
      <c r="V32" s="39"/>
      <c r="W32" s="36"/>
      <c r="X32" s="32"/>
      <c r="Y32" s="36"/>
      <c r="Z32" s="33"/>
      <c r="AA32" s="36"/>
      <c r="AB32" s="33"/>
      <c r="AC32" s="37"/>
      <c r="AD32" s="39"/>
      <c r="AE32" s="36"/>
      <c r="AF32" s="32"/>
      <c r="AG32" s="36"/>
      <c r="AH32" s="33"/>
      <c r="AI32" s="36"/>
      <c r="AJ32" s="33"/>
      <c r="AK32" s="2"/>
    </row>
    <row r="33" spans="1:37" ht="15" thickBot="1" x14ac:dyDescent="0.35">
      <c r="A33" s="2"/>
      <c r="B33" s="4">
        <v>29</v>
      </c>
      <c r="C33" s="2"/>
      <c r="D33" s="7" t="str">
        <f>IF('Datos Generales'!C72&lt;&gt;"", 'Datos Generales'!C72, "")</f>
        <v/>
      </c>
      <c r="E33" s="2"/>
      <c r="F33" s="34"/>
      <c r="G33" s="36"/>
      <c r="H33" s="31"/>
      <c r="I33" s="36"/>
      <c r="J33" s="39"/>
      <c r="K33" s="36"/>
      <c r="L33" s="39"/>
      <c r="M33" s="36"/>
      <c r="N33" s="40"/>
      <c r="O33" s="36"/>
      <c r="P33" s="39"/>
      <c r="Q33" s="36"/>
      <c r="R33" s="33"/>
      <c r="S33" s="36"/>
      <c r="T33" s="33"/>
      <c r="U33" s="36"/>
      <c r="V33" s="39"/>
      <c r="W33" s="36"/>
      <c r="X33" s="32"/>
      <c r="Y33" s="36"/>
      <c r="Z33" s="33"/>
      <c r="AA33" s="36"/>
      <c r="AB33" s="33"/>
      <c r="AC33" s="37"/>
      <c r="AD33" s="39"/>
      <c r="AE33" s="36"/>
      <c r="AF33" s="32"/>
      <c r="AG33" s="36"/>
      <c r="AH33" s="33"/>
      <c r="AI33" s="36"/>
      <c r="AJ33" s="33"/>
      <c r="AK33" s="2"/>
    </row>
    <row r="34" spans="1:37" ht="15" thickBot="1" x14ac:dyDescent="0.35">
      <c r="A34" s="2"/>
      <c r="B34" s="4">
        <v>30</v>
      </c>
      <c r="C34" s="2"/>
      <c r="D34" s="7" t="str">
        <f>IF('Datos Generales'!C73&lt;&gt;"", 'Datos Generales'!C73, "")</f>
        <v/>
      </c>
      <c r="E34" s="2"/>
      <c r="F34" s="34"/>
      <c r="G34" s="36"/>
      <c r="H34" s="31"/>
      <c r="I34" s="36"/>
      <c r="J34" s="39"/>
      <c r="K34" s="36"/>
      <c r="L34" s="39"/>
      <c r="M34" s="36"/>
      <c r="N34" s="40"/>
      <c r="O34" s="36"/>
      <c r="P34" s="39"/>
      <c r="Q34" s="36"/>
      <c r="R34" s="33"/>
      <c r="S34" s="36"/>
      <c r="T34" s="33"/>
      <c r="U34" s="36"/>
      <c r="V34" s="39"/>
      <c r="W34" s="36"/>
      <c r="X34" s="32"/>
      <c r="Y34" s="36"/>
      <c r="Z34" s="33"/>
      <c r="AA34" s="36"/>
      <c r="AB34" s="33"/>
      <c r="AC34" s="37"/>
      <c r="AD34" s="39"/>
      <c r="AE34" s="36"/>
      <c r="AF34" s="32"/>
      <c r="AG34" s="36"/>
      <c r="AH34" s="33"/>
      <c r="AI34" s="36"/>
      <c r="AJ34" s="33"/>
      <c r="AK34" s="2"/>
    </row>
    <row r="35" spans="1:37" ht="15" thickBot="1" x14ac:dyDescent="0.35">
      <c r="A35" s="2"/>
      <c r="B35" s="4">
        <v>31</v>
      </c>
      <c r="C35" s="2"/>
      <c r="D35" s="7" t="str">
        <f>IF('Datos Generales'!C74&lt;&gt;"", 'Datos Generales'!C74, "")</f>
        <v/>
      </c>
      <c r="E35" s="2"/>
      <c r="F35" s="34"/>
      <c r="G35" s="36"/>
      <c r="H35" s="31"/>
      <c r="I35" s="36"/>
      <c r="J35" s="39"/>
      <c r="K35" s="36"/>
      <c r="L35" s="39"/>
      <c r="M35" s="36"/>
      <c r="N35" s="40"/>
      <c r="O35" s="36"/>
      <c r="P35" s="39"/>
      <c r="Q35" s="36"/>
      <c r="R35" s="33"/>
      <c r="S35" s="36"/>
      <c r="T35" s="33"/>
      <c r="U35" s="36"/>
      <c r="V35" s="39"/>
      <c r="W35" s="36"/>
      <c r="X35" s="32"/>
      <c r="Y35" s="36"/>
      <c r="Z35" s="33"/>
      <c r="AA35" s="36"/>
      <c r="AB35" s="33"/>
      <c r="AC35" s="37"/>
      <c r="AD35" s="39"/>
      <c r="AE35" s="36"/>
      <c r="AF35" s="32"/>
      <c r="AG35" s="36"/>
      <c r="AH35" s="33"/>
      <c r="AI35" s="36"/>
      <c r="AJ35" s="33"/>
      <c r="AK35" s="2"/>
    </row>
    <row r="36" spans="1:37" ht="15" thickBot="1" x14ac:dyDescent="0.35">
      <c r="A36" s="2"/>
      <c r="B36" s="4">
        <v>32</v>
      </c>
      <c r="C36" s="2"/>
      <c r="D36" s="7" t="str">
        <f>IF('Datos Generales'!C75&lt;&gt;"", 'Datos Generales'!C75, "")</f>
        <v/>
      </c>
      <c r="E36" s="2"/>
      <c r="F36" s="34"/>
      <c r="G36" s="36"/>
      <c r="H36" s="31"/>
      <c r="I36" s="36"/>
      <c r="J36" s="39"/>
      <c r="K36" s="36"/>
      <c r="L36" s="39"/>
      <c r="M36" s="36"/>
      <c r="N36" s="40"/>
      <c r="O36" s="36"/>
      <c r="P36" s="39"/>
      <c r="Q36" s="36"/>
      <c r="R36" s="33"/>
      <c r="S36" s="36"/>
      <c r="T36" s="33"/>
      <c r="U36" s="36"/>
      <c r="V36" s="39"/>
      <c r="W36" s="36"/>
      <c r="X36" s="32"/>
      <c r="Y36" s="36"/>
      <c r="Z36" s="33"/>
      <c r="AA36" s="36"/>
      <c r="AB36" s="33"/>
      <c r="AC36" s="37"/>
      <c r="AD36" s="39"/>
      <c r="AE36" s="36"/>
      <c r="AF36" s="32"/>
      <c r="AG36" s="36"/>
      <c r="AH36" s="33"/>
      <c r="AI36" s="36"/>
      <c r="AJ36" s="33"/>
      <c r="AK36" s="2"/>
    </row>
    <row r="37" spans="1:37" ht="15" thickBot="1" x14ac:dyDescent="0.35">
      <c r="A37" s="2"/>
      <c r="B37" s="4">
        <v>33</v>
      </c>
      <c r="C37" s="2"/>
      <c r="D37" s="7" t="str">
        <f>IF('Datos Generales'!C76&lt;&gt;"", 'Datos Generales'!C76, "")</f>
        <v/>
      </c>
      <c r="E37" s="2"/>
      <c r="F37" s="34"/>
      <c r="G37" s="36"/>
      <c r="H37" s="31"/>
      <c r="I37" s="36"/>
      <c r="J37" s="39"/>
      <c r="K37" s="36"/>
      <c r="L37" s="39"/>
      <c r="M37" s="36"/>
      <c r="N37" s="40"/>
      <c r="O37" s="36"/>
      <c r="P37" s="39"/>
      <c r="Q37" s="36"/>
      <c r="R37" s="33"/>
      <c r="S37" s="36"/>
      <c r="T37" s="33"/>
      <c r="U37" s="36"/>
      <c r="V37" s="39"/>
      <c r="W37" s="36"/>
      <c r="X37" s="32"/>
      <c r="Y37" s="36"/>
      <c r="Z37" s="33"/>
      <c r="AA37" s="36"/>
      <c r="AB37" s="33"/>
      <c r="AC37" s="37"/>
      <c r="AD37" s="39"/>
      <c r="AE37" s="36"/>
      <c r="AF37" s="32"/>
      <c r="AG37" s="36"/>
      <c r="AH37" s="33"/>
      <c r="AI37" s="36"/>
      <c r="AJ37" s="33"/>
      <c r="AK37" s="2"/>
    </row>
    <row r="38" spans="1:37" ht="15" thickBot="1" x14ac:dyDescent="0.35">
      <c r="A38" s="2"/>
      <c r="B38" s="4">
        <v>34</v>
      </c>
      <c r="C38" s="2"/>
      <c r="D38" s="7" t="str">
        <f>IF('Datos Generales'!C77&lt;&gt;"", 'Datos Generales'!C77, "")</f>
        <v/>
      </c>
      <c r="E38" s="2"/>
      <c r="F38" s="34"/>
      <c r="G38" s="36"/>
      <c r="H38" s="31"/>
      <c r="I38" s="36"/>
      <c r="J38" s="39"/>
      <c r="K38" s="36"/>
      <c r="L38" s="39"/>
      <c r="M38" s="36"/>
      <c r="N38" s="40"/>
      <c r="O38" s="36"/>
      <c r="P38" s="39"/>
      <c r="Q38" s="36"/>
      <c r="R38" s="33"/>
      <c r="S38" s="36"/>
      <c r="T38" s="33"/>
      <c r="U38" s="36"/>
      <c r="V38" s="39"/>
      <c r="W38" s="36"/>
      <c r="X38" s="32"/>
      <c r="Y38" s="36"/>
      <c r="Z38" s="33"/>
      <c r="AA38" s="36"/>
      <c r="AB38" s="33"/>
      <c r="AC38" s="37"/>
      <c r="AD38" s="39"/>
      <c r="AE38" s="36"/>
      <c r="AF38" s="32"/>
      <c r="AG38" s="36"/>
      <c r="AH38" s="33"/>
      <c r="AI38" s="36"/>
      <c r="AJ38" s="33"/>
      <c r="AK38" s="2"/>
    </row>
    <row r="39" spans="1:37" ht="15" thickBot="1" x14ac:dyDescent="0.35">
      <c r="A39" s="2"/>
      <c r="B39" s="4">
        <v>35</v>
      </c>
      <c r="C39" s="2"/>
      <c r="D39" s="7" t="str">
        <f>IF('Datos Generales'!C78&lt;&gt;"", 'Datos Generales'!C78, "")</f>
        <v/>
      </c>
      <c r="E39" s="2"/>
      <c r="F39" s="34"/>
      <c r="G39" s="36"/>
      <c r="H39" s="31"/>
      <c r="I39" s="36"/>
      <c r="J39" s="39"/>
      <c r="K39" s="36"/>
      <c r="L39" s="39"/>
      <c r="M39" s="36"/>
      <c r="N39" s="40"/>
      <c r="O39" s="36"/>
      <c r="P39" s="41"/>
      <c r="Q39" s="36"/>
      <c r="R39" s="33"/>
      <c r="S39" s="36"/>
      <c r="T39" s="33"/>
      <c r="U39" s="36"/>
      <c r="V39" s="39"/>
      <c r="W39" s="36"/>
      <c r="X39" s="32"/>
      <c r="Y39" s="36"/>
      <c r="Z39" s="33"/>
      <c r="AA39" s="36"/>
      <c r="AB39" s="33"/>
      <c r="AC39" s="37"/>
      <c r="AD39" s="39"/>
      <c r="AE39" s="36"/>
      <c r="AF39" s="32"/>
      <c r="AG39" s="36"/>
      <c r="AH39" s="33"/>
      <c r="AI39" s="36"/>
      <c r="AJ39" s="33"/>
      <c r="AK39" s="2"/>
    </row>
    <row r="40" spans="1:37" ht="8.1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6"/>
      <c r="AD40" s="2"/>
      <c r="AE40" s="2"/>
      <c r="AF40" s="2"/>
      <c r="AG40" s="2"/>
      <c r="AH40" s="2"/>
      <c r="AI40" s="2"/>
      <c r="AJ40" s="2"/>
      <c r="AK40" s="2"/>
    </row>
  </sheetData>
  <mergeCells count="17">
    <mergeCell ref="X2:X3"/>
    <mergeCell ref="V2:V3"/>
    <mergeCell ref="T2:T3"/>
    <mergeCell ref="R2:R3"/>
    <mergeCell ref="AJ2:AJ3"/>
    <mergeCell ref="F1:AJ1"/>
    <mergeCell ref="P2:P3"/>
    <mergeCell ref="N2:N3"/>
    <mergeCell ref="AB2:AB3"/>
    <mergeCell ref="AD2:AD3"/>
    <mergeCell ref="AF2:AF3"/>
    <mergeCell ref="AH2:AH3"/>
    <mergeCell ref="L2:L3"/>
    <mergeCell ref="J2:J3"/>
    <mergeCell ref="H2:H3"/>
    <mergeCell ref="F2:F3"/>
    <mergeCell ref="Z2:Z3"/>
  </mergeCells>
  <phoneticPr fontId="4" type="noConversion"/>
  <conditionalFormatting sqref="L30">
    <cfRule type="cellIs" dxfId="75" priority="42" operator="lessThan">
      <formula>60</formula>
    </cfRule>
  </conditionalFormatting>
  <conditionalFormatting sqref="F30:F31">
    <cfRule type="cellIs" dxfId="74" priority="23" operator="lessThan">
      <formula>60</formula>
    </cfRule>
  </conditionalFormatting>
  <conditionalFormatting sqref="H30:H31">
    <cfRule type="cellIs" dxfId="73" priority="22" operator="lessThan">
      <formula>60</formula>
    </cfRule>
  </conditionalFormatting>
  <conditionalFormatting sqref="J30:J31">
    <cfRule type="cellIs" dxfId="72" priority="21" operator="lessThan">
      <formula>60</formula>
    </cfRule>
  </conditionalFormatting>
  <conditionalFormatting sqref="N30:N31">
    <cfRule type="cellIs" dxfId="71" priority="20" operator="lessThan">
      <formula>60</formula>
    </cfRule>
  </conditionalFormatting>
  <conditionalFormatting sqref="P30:P31">
    <cfRule type="cellIs" dxfId="70" priority="19" operator="lessThan">
      <formula>60</formula>
    </cfRule>
  </conditionalFormatting>
  <conditionalFormatting sqref="R30:R31">
    <cfRule type="cellIs" dxfId="69" priority="18" operator="lessThan">
      <formula>60</formula>
    </cfRule>
  </conditionalFormatting>
  <conditionalFormatting sqref="T30:T31">
    <cfRule type="cellIs" dxfId="68" priority="17" operator="lessThan">
      <formula>60</formula>
    </cfRule>
  </conditionalFormatting>
  <conditionalFormatting sqref="V30:V31">
    <cfRule type="cellIs" dxfId="67" priority="16" operator="lessThan">
      <formula>60</formula>
    </cfRule>
  </conditionalFormatting>
  <conditionalFormatting sqref="X30:X31">
    <cfRule type="cellIs" dxfId="66" priority="15" operator="lessThan">
      <formula>60</formula>
    </cfRule>
  </conditionalFormatting>
  <conditionalFormatting sqref="AB5:AB31">
    <cfRule type="cellIs" dxfId="65" priority="14" operator="lessThan">
      <formula>60</formula>
    </cfRule>
  </conditionalFormatting>
  <conditionalFormatting sqref="F5:F28">
    <cfRule type="cellIs" dxfId="64" priority="13" operator="lessThan">
      <formula>60</formula>
    </cfRule>
  </conditionalFormatting>
  <conditionalFormatting sqref="H5:H28">
    <cfRule type="cellIs" dxfId="63" priority="12" operator="lessThan">
      <formula>60</formula>
    </cfRule>
  </conditionalFormatting>
  <conditionalFormatting sqref="L5:L28">
    <cfRule type="cellIs" dxfId="62" priority="11" operator="lessThan">
      <formula>60</formula>
    </cfRule>
  </conditionalFormatting>
  <conditionalFormatting sqref="N5:N28">
    <cfRule type="cellIs" dxfId="61" priority="10" operator="lessThan">
      <formula>60</formula>
    </cfRule>
  </conditionalFormatting>
  <conditionalFormatting sqref="P5:P28">
    <cfRule type="cellIs" dxfId="60" priority="9" operator="lessThan">
      <formula>60</formula>
    </cfRule>
  </conditionalFormatting>
  <conditionalFormatting sqref="R5:R28">
    <cfRule type="cellIs" dxfId="59" priority="8" operator="lessThan">
      <formula>60</formula>
    </cfRule>
  </conditionalFormatting>
  <conditionalFormatting sqref="T5:T28">
    <cfRule type="cellIs" dxfId="58" priority="7" operator="lessThan">
      <formula>60</formula>
    </cfRule>
  </conditionalFormatting>
  <conditionalFormatting sqref="V5:V28">
    <cfRule type="cellIs" dxfId="57" priority="5" operator="lessThan">
      <formula>60</formula>
    </cfRule>
  </conditionalFormatting>
  <conditionalFormatting sqref="J5:J28">
    <cfRule type="cellIs" dxfId="56" priority="4" operator="lessThan">
      <formula>60</formula>
    </cfRule>
  </conditionalFormatting>
  <conditionalFormatting sqref="Z5:Z28">
    <cfRule type="cellIs" dxfId="55" priority="3" operator="lessThan">
      <formula>60</formula>
    </cfRule>
  </conditionalFormatting>
  <conditionalFormatting sqref="X5:X28">
    <cfRule type="cellIs" dxfId="54" priority="2" operator="lessThan">
      <formula>60</formula>
    </cfRule>
  </conditionalFormatting>
  <conditionalFormatting sqref="X29">
    <cfRule type="cellIs" dxfId="53" priority="1" operator="lessThan">
      <formula>60</formula>
    </cfRule>
  </conditionalFormatting>
  <pageMargins left="0.7" right="0.7" top="0.75" bottom="0.75" header="0.3" footer="0.3"/>
  <pageSetup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36A11-5362-4875-819A-63EFCF7B5C59}">
  <sheetPr codeName="Sheet3">
    <tabColor theme="9" tint="-0.249977111117893"/>
  </sheetPr>
  <dimension ref="A1:AK40"/>
  <sheetViews>
    <sheetView showGridLines="0" topLeftCell="A11" zoomScale="70" zoomScaleNormal="70" workbookViewId="0">
      <selection activeCell="Z27" sqref="Z27"/>
    </sheetView>
  </sheetViews>
  <sheetFormatPr baseColWidth="10" defaultColWidth="11.44140625" defaultRowHeight="14.4" x14ac:dyDescent="0.3"/>
  <cols>
    <col min="1" max="1" width="0.88671875" style="1" customWidth="1"/>
    <col min="2" max="2" width="4.6640625" style="1" customWidth="1"/>
    <col min="3" max="3" width="0.88671875" style="1" customWidth="1"/>
    <col min="4" max="4" width="33.109375" style="1" customWidth="1"/>
    <col min="5" max="5" width="0.88671875" style="1" customWidth="1"/>
    <col min="6" max="6" width="5.6640625" style="1" customWidth="1"/>
    <col min="7" max="7" width="0.88671875" style="1" customWidth="1"/>
    <col min="8" max="8" width="5.6640625" style="1" customWidth="1"/>
    <col min="9" max="9" width="0.88671875" style="1" customWidth="1"/>
    <col min="10" max="10" width="5.6640625" style="1" customWidth="1"/>
    <col min="11" max="11" width="0.88671875" style="1" customWidth="1"/>
    <col min="12" max="12" width="5.6640625" style="1" customWidth="1"/>
    <col min="13" max="13" width="0.88671875" style="1" customWidth="1"/>
    <col min="14" max="14" width="5.6640625" style="1" customWidth="1"/>
    <col min="15" max="15" width="0.88671875" style="1" customWidth="1"/>
    <col min="16" max="16" width="5.6640625" style="1" customWidth="1"/>
    <col min="17" max="17" width="0.88671875" style="1" customWidth="1"/>
    <col min="18" max="18" width="5.6640625" style="1" customWidth="1"/>
    <col min="19" max="19" width="0.88671875" style="1" customWidth="1"/>
    <col min="20" max="20" width="5.6640625" style="1" customWidth="1"/>
    <col min="21" max="21" width="0.88671875" style="1" customWidth="1"/>
    <col min="22" max="22" width="5.6640625" style="1" customWidth="1"/>
    <col min="23" max="23" width="0.88671875" style="1" customWidth="1"/>
    <col min="24" max="24" width="5.6640625" style="1" customWidth="1"/>
    <col min="25" max="25" width="0.88671875" style="1" customWidth="1"/>
    <col min="26" max="26" width="5.6640625" style="1" customWidth="1"/>
    <col min="27" max="27" width="0.88671875" style="1" customWidth="1"/>
    <col min="28" max="28" width="5.6640625" style="1" customWidth="1"/>
    <col min="29" max="29" width="0.88671875" customWidth="1"/>
    <col min="30" max="30" width="5.6640625" customWidth="1"/>
    <col min="31" max="31" width="0.88671875" customWidth="1"/>
    <col min="32" max="32" width="5.6640625" customWidth="1"/>
    <col min="33" max="33" width="0.88671875" customWidth="1"/>
    <col min="34" max="34" width="5.6640625" customWidth="1"/>
    <col min="35" max="35" width="0.88671875" customWidth="1"/>
    <col min="36" max="36" width="5.6640625" hidden="1" customWidth="1"/>
    <col min="37" max="37" width="0.88671875" customWidth="1"/>
  </cols>
  <sheetData>
    <row r="1" spans="1:37" ht="9" customHeight="1" x14ac:dyDescent="0.3">
      <c r="E1" s="2"/>
      <c r="F1" s="117" t="s">
        <v>2</v>
      </c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2"/>
    </row>
    <row r="2" spans="1:37" ht="157.5" customHeight="1" x14ac:dyDescent="0.3">
      <c r="D2" s="5" t="str">
        <f>IF('Datos Generales'!D8&lt;&gt;"", 'Datos Generales'!D8, "Grado No Asignado")</f>
        <v>Quinto Bachillerato</v>
      </c>
      <c r="E2" s="2"/>
      <c r="F2" s="112" t="str">
        <f>IF('Datos Generales'!C21&lt;&gt;"", 'Datos Generales'!C21, "")</f>
        <v>Lectura</v>
      </c>
      <c r="G2" s="6"/>
      <c r="H2" s="112" t="str">
        <f>IF('Datos Generales'!C22&lt;&gt;"", 'Datos Generales'!C22, "")</f>
        <v>Redacción</v>
      </c>
      <c r="I2" s="6"/>
      <c r="J2" s="112" t="str">
        <f>IF('Datos Generales'!C23&lt;&gt;"", 'Datos Generales'!C23, "")</f>
        <v>Idioma Extranjero Inglés</v>
      </c>
      <c r="K2" s="6"/>
      <c r="L2" s="112" t="str">
        <f>IF('Datos Generales'!C24&lt;&gt;"", 'Datos Generales'!C24, "")</f>
        <v>Tecnología de Información y Comunicación</v>
      </c>
      <c r="M2" s="6"/>
      <c r="N2" s="112" t="str">
        <f>IF('Datos Generales'!C25&lt;&gt;"", 'Datos Generales'!C25, "")</f>
        <v>Matemática</v>
      </c>
      <c r="O2" s="6"/>
      <c r="P2" s="112" t="str">
        <f>IF('Datos Generales'!C26&lt;&gt;"", 'Datos Generales'!C26, "")</f>
        <v>Estadística</v>
      </c>
      <c r="Q2" s="6"/>
      <c r="R2" s="112" t="str">
        <f>IF('Datos Generales'!C27&lt;&gt;"", 'Datos Generales'!C27, "")</f>
        <v>Química</v>
      </c>
      <c r="S2" s="6"/>
      <c r="T2" s="112" t="str">
        <f>IF('Datos Generales'!C28&lt;&gt;"", 'Datos Generales'!C28, "")</f>
        <v>Biología</v>
      </c>
      <c r="U2" s="6"/>
      <c r="V2" s="112" t="str">
        <f>IF('Datos Generales'!C29&lt;&gt;"", 'Datos Generales'!C29, "")</f>
        <v>Seminario</v>
      </c>
      <c r="W2" s="6"/>
      <c r="X2" s="112" t="str">
        <f>IF('Datos Generales'!C30&lt;&gt;"", 'Datos Generales'!C30, "")</f>
        <v>Administración de Empresas</v>
      </c>
      <c r="Y2" s="6"/>
      <c r="Z2" s="112" t="str">
        <f>IF('Datos Generales'!C31&lt;&gt;"", 'Datos Generales'!C31, "")</f>
        <v>Educación Física</v>
      </c>
      <c r="AA2" s="2"/>
      <c r="AB2" s="112" t="str">
        <f>IF('Datos Generales'!C32&lt;&gt;"",'Datos Generales'!C32, "")</f>
        <v/>
      </c>
      <c r="AC2" s="6"/>
      <c r="AD2" s="112" t="str">
        <f>IF('Datos Generales'!C33&lt;&gt;"",'Datos Generales'!C33, "")</f>
        <v/>
      </c>
      <c r="AE2" s="6"/>
      <c r="AF2" s="112" t="str">
        <f>IF('Datos Generales'!C34&lt;&gt;"", 'Datos Generales'!C34, "")</f>
        <v/>
      </c>
      <c r="AG2" s="6"/>
      <c r="AH2" s="112" t="str">
        <f>IF('Datos Generales'!C35&lt;&gt;"", 'Datos Generales'!C35, "")</f>
        <v/>
      </c>
      <c r="AI2" s="2"/>
      <c r="AJ2" s="112">
        <f>'Datos Generales'!C36</f>
        <v>0</v>
      </c>
      <c r="AK2" s="2"/>
    </row>
    <row r="3" spans="1:37" ht="7.5" customHeight="1" x14ac:dyDescent="0.3">
      <c r="A3" s="2"/>
      <c r="B3" s="2"/>
      <c r="C3" s="2"/>
      <c r="D3" s="2"/>
      <c r="E3" s="2"/>
      <c r="F3" s="113"/>
      <c r="G3" s="2"/>
      <c r="H3" s="113"/>
      <c r="I3" s="2"/>
      <c r="J3" s="113"/>
      <c r="K3" s="2"/>
      <c r="L3" s="113"/>
      <c r="M3" s="2"/>
      <c r="N3" s="113"/>
      <c r="O3" s="2"/>
      <c r="P3" s="113"/>
      <c r="Q3" s="2"/>
      <c r="R3" s="113"/>
      <c r="S3" s="2"/>
      <c r="T3" s="113"/>
      <c r="U3" s="2"/>
      <c r="V3" s="113"/>
      <c r="W3" s="2"/>
      <c r="X3" s="113"/>
      <c r="Y3" s="2"/>
      <c r="Z3" s="113"/>
      <c r="AA3" s="2"/>
      <c r="AB3" s="113"/>
      <c r="AC3" s="6"/>
      <c r="AD3" s="113"/>
      <c r="AE3" s="2"/>
      <c r="AF3" s="113"/>
      <c r="AG3" s="2"/>
      <c r="AH3" s="113"/>
      <c r="AI3" s="2"/>
      <c r="AJ3" s="113"/>
      <c r="AK3" s="2"/>
    </row>
    <row r="4" spans="1:37" ht="15" thickBot="1" x14ac:dyDescent="0.35">
      <c r="A4" s="2"/>
      <c r="B4" s="3" t="s">
        <v>0</v>
      </c>
      <c r="C4" s="2"/>
      <c r="D4" s="3" t="s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6"/>
      <c r="AD4" s="2"/>
      <c r="AE4" s="2"/>
      <c r="AF4" s="2"/>
      <c r="AG4" s="2"/>
      <c r="AH4" s="2"/>
      <c r="AI4" s="2"/>
      <c r="AJ4" s="2"/>
      <c r="AK4" s="2"/>
    </row>
    <row r="5" spans="1:37" ht="15" thickBot="1" x14ac:dyDescent="0.35">
      <c r="A5" s="2"/>
      <c r="B5" s="4">
        <v>1</v>
      </c>
      <c r="C5" s="2"/>
      <c r="D5" s="7" t="str">
        <f>IF('Datos Generales'!C44&lt;&gt;"", 'Datos Generales'!C44, "")</f>
        <v>Avilés Palacios, Christopher Alexandro</v>
      </c>
      <c r="E5" s="2"/>
      <c r="F5" s="53">
        <v>44</v>
      </c>
      <c r="G5" s="36"/>
      <c r="H5" s="53">
        <v>44</v>
      </c>
      <c r="I5" s="36"/>
      <c r="J5" s="84">
        <v>69.5</v>
      </c>
      <c r="K5" s="36"/>
      <c r="L5" s="51">
        <v>78</v>
      </c>
      <c r="M5" s="36"/>
      <c r="N5" s="51">
        <v>84</v>
      </c>
      <c r="O5" s="36"/>
      <c r="P5" s="51">
        <v>81</v>
      </c>
      <c r="Q5" s="36"/>
      <c r="R5" s="59">
        <v>92</v>
      </c>
      <c r="S5" s="36"/>
      <c r="T5" s="55">
        <v>63</v>
      </c>
      <c r="U5" s="36"/>
      <c r="V5" s="62">
        <v>70</v>
      </c>
      <c r="W5" s="36"/>
      <c r="X5" s="61">
        <v>80</v>
      </c>
      <c r="Y5" s="36"/>
      <c r="Z5" s="62">
        <v>80</v>
      </c>
      <c r="AA5" s="36"/>
      <c r="AB5" s="31"/>
      <c r="AC5" s="37"/>
      <c r="AD5" s="38"/>
      <c r="AE5" s="36"/>
      <c r="AF5" s="34"/>
      <c r="AG5" s="36"/>
      <c r="AH5" s="31"/>
      <c r="AI5" s="36"/>
      <c r="AJ5" s="31"/>
      <c r="AK5" s="2"/>
    </row>
    <row r="6" spans="1:37" ht="15" thickBot="1" x14ac:dyDescent="0.35">
      <c r="A6" s="2"/>
      <c r="B6" s="4">
        <v>2</v>
      </c>
      <c r="C6" s="2"/>
      <c r="D6" s="7" t="str">
        <f>IF('Datos Generales'!C45&lt;&gt;"", 'Datos Generales'!C45, "")</f>
        <v>Estrada Kajihara, Yaretzi Hatsue</v>
      </c>
      <c r="E6" s="2"/>
      <c r="F6" s="53">
        <v>66</v>
      </c>
      <c r="G6" s="36"/>
      <c r="H6" s="53">
        <v>66</v>
      </c>
      <c r="I6" s="36"/>
      <c r="J6" s="84">
        <v>89.5</v>
      </c>
      <c r="K6" s="36"/>
      <c r="L6" s="51">
        <v>85</v>
      </c>
      <c r="M6" s="36"/>
      <c r="N6" s="51">
        <v>100</v>
      </c>
      <c r="O6" s="36"/>
      <c r="P6" s="51">
        <v>80</v>
      </c>
      <c r="Q6" s="36"/>
      <c r="R6" s="59">
        <v>84</v>
      </c>
      <c r="S6" s="36"/>
      <c r="T6" s="55">
        <v>78</v>
      </c>
      <c r="U6" s="36"/>
      <c r="V6" s="62">
        <v>95</v>
      </c>
      <c r="W6" s="36"/>
      <c r="X6" s="61">
        <v>90</v>
      </c>
      <c r="Y6" s="36"/>
      <c r="Z6" s="62">
        <v>90</v>
      </c>
      <c r="AA6" s="36"/>
      <c r="AB6" s="33"/>
      <c r="AC6" s="37"/>
      <c r="AD6" s="39"/>
      <c r="AE6" s="36"/>
      <c r="AF6" s="32"/>
      <c r="AG6" s="36"/>
      <c r="AH6" s="33"/>
      <c r="AI6" s="36"/>
      <c r="AJ6" s="33"/>
      <c r="AK6" s="2"/>
    </row>
    <row r="7" spans="1:37" ht="15" thickBot="1" x14ac:dyDescent="0.35">
      <c r="A7" s="2"/>
      <c r="B7" s="4">
        <v>3</v>
      </c>
      <c r="C7" s="2"/>
      <c r="D7" s="7" t="str">
        <f>IF('Datos Generales'!C46&lt;&gt;"", 'Datos Generales'!C46, "")</f>
        <v>González Contreras, Joseph Ezequías</v>
      </c>
      <c r="E7" s="2"/>
      <c r="F7" s="53">
        <v>59</v>
      </c>
      <c r="G7" s="36"/>
      <c r="H7" s="53">
        <v>59</v>
      </c>
      <c r="I7" s="36"/>
      <c r="J7" s="84">
        <v>68</v>
      </c>
      <c r="K7" s="36"/>
      <c r="L7" s="51">
        <v>53</v>
      </c>
      <c r="M7" s="36"/>
      <c r="N7" s="51">
        <v>74</v>
      </c>
      <c r="O7" s="36"/>
      <c r="P7" s="51">
        <v>40</v>
      </c>
      <c r="Q7" s="36"/>
      <c r="R7" s="59">
        <v>84</v>
      </c>
      <c r="S7" s="36"/>
      <c r="T7" s="55">
        <v>74</v>
      </c>
      <c r="U7" s="36"/>
      <c r="V7" s="62">
        <v>90</v>
      </c>
      <c r="W7" s="36"/>
      <c r="X7" s="61">
        <v>90</v>
      </c>
      <c r="Y7" s="36"/>
      <c r="Z7" s="62">
        <v>88</v>
      </c>
      <c r="AA7" s="36"/>
      <c r="AB7" s="33"/>
      <c r="AC7" s="37"/>
      <c r="AD7" s="39"/>
      <c r="AE7" s="36"/>
      <c r="AF7" s="32"/>
      <c r="AG7" s="36"/>
      <c r="AH7" s="33"/>
      <c r="AI7" s="36"/>
      <c r="AJ7" s="33"/>
      <c r="AK7" s="2"/>
    </row>
    <row r="8" spans="1:37" ht="15" thickBot="1" x14ac:dyDescent="0.35">
      <c r="A8" s="2"/>
      <c r="B8" s="4">
        <v>4</v>
      </c>
      <c r="C8" s="2"/>
      <c r="D8" s="7" t="str">
        <f>IF('Datos Generales'!C47&lt;&gt;"", 'Datos Generales'!C47, "")</f>
        <v>Lee Toribio, Jhefferson Harin</v>
      </c>
      <c r="E8" s="2"/>
      <c r="F8" s="53">
        <v>73</v>
      </c>
      <c r="G8" s="36"/>
      <c r="H8" s="53">
        <v>73</v>
      </c>
      <c r="I8" s="36"/>
      <c r="J8" s="84">
        <v>94.5</v>
      </c>
      <c r="K8" s="36"/>
      <c r="L8" s="51">
        <v>100</v>
      </c>
      <c r="M8" s="36"/>
      <c r="N8" s="51">
        <v>100</v>
      </c>
      <c r="O8" s="36"/>
      <c r="P8" s="51">
        <v>66</v>
      </c>
      <c r="Q8" s="36"/>
      <c r="R8" s="59">
        <v>95</v>
      </c>
      <c r="S8" s="36"/>
      <c r="T8" s="55">
        <v>73</v>
      </c>
      <c r="U8" s="36"/>
      <c r="V8" s="62">
        <v>95</v>
      </c>
      <c r="W8" s="36"/>
      <c r="X8" s="61">
        <v>80</v>
      </c>
      <c r="Y8" s="36"/>
      <c r="Z8" s="62">
        <v>70</v>
      </c>
      <c r="AA8" s="36"/>
      <c r="AB8" s="33"/>
      <c r="AC8" s="37"/>
      <c r="AD8" s="39"/>
      <c r="AE8" s="36"/>
      <c r="AF8" s="32"/>
      <c r="AG8" s="36"/>
      <c r="AH8" s="33"/>
      <c r="AI8" s="36"/>
      <c r="AJ8" s="33"/>
      <c r="AK8" s="2"/>
    </row>
    <row r="9" spans="1:37" ht="15" thickBot="1" x14ac:dyDescent="0.35">
      <c r="A9" s="2"/>
      <c r="B9" s="4">
        <v>5</v>
      </c>
      <c r="C9" s="2"/>
      <c r="D9" s="7" t="str">
        <f>IF('Datos Generales'!C48&lt;&gt;"", 'Datos Generales'!C48, "")</f>
        <v>Lobos Cedillo, Luis Alejandro</v>
      </c>
      <c r="E9" s="2"/>
      <c r="F9" s="53">
        <v>43</v>
      </c>
      <c r="G9" s="36"/>
      <c r="H9" s="53">
        <v>43</v>
      </c>
      <c r="I9" s="36"/>
      <c r="J9" s="85">
        <v>77.5</v>
      </c>
      <c r="K9" s="36"/>
      <c r="L9" s="52">
        <v>62</v>
      </c>
      <c r="M9" s="36"/>
      <c r="N9" s="52">
        <v>88</v>
      </c>
      <c r="O9" s="36"/>
      <c r="P9" s="52">
        <v>87</v>
      </c>
      <c r="Q9" s="36"/>
      <c r="R9" s="59">
        <v>92</v>
      </c>
      <c r="S9" s="36"/>
      <c r="T9" s="55">
        <v>73</v>
      </c>
      <c r="U9" s="36"/>
      <c r="V9" s="62">
        <v>65</v>
      </c>
      <c r="W9" s="36"/>
      <c r="X9" s="61">
        <v>90</v>
      </c>
      <c r="Y9" s="36"/>
      <c r="Z9" s="62">
        <v>90</v>
      </c>
      <c r="AA9" s="36"/>
      <c r="AB9" s="33"/>
      <c r="AC9" s="37"/>
      <c r="AD9" s="39"/>
      <c r="AE9" s="36"/>
      <c r="AF9" s="32"/>
      <c r="AG9" s="36"/>
      <c r="AH9" s="33"/>
      <c r="AI9" s="36"/>
      <c r="AJ9" s="33"/>
      <c r="AK9" s="2"/>
    </row>
    <row r="10" spans="1:37" ht="15" thickBot="1" x14ac:dyDescent="0.35">
      <c r="A10" s="2"/>
      <c r="B10" s="4">
        <v>6</v>
      </c>
      <c r="C10" s="2"/>
      <c r="D10" s="7" t="str">
        <f>IF('Datos Generales'!C49&lt;&gt;"", 'Datos Generales'!C49, "")</f>
        <v>López Martínez, Dafne Jasare</v>
      </c>
      <c r="E10" s="2"/>
      <c r="F10" s="53">
        <v>32</v>
      </c>
      <c r="G10" s="36"/>
      <c r="H10" s="53">
        <v>32</v>
      </c>
      <c r="I10" s="36"/>
      <c r="J10" s="85">
        <v>65</v>
      </c>
      <c r="K10" s="36"/>
      <c r="L10" s="52">
        <v>54</v>
      </c>
      <c r="M10" s="36"/>
      <c r="N10" s="52">
        <v>86</v>
      </c>
      <c r="O10" s="36"/>
      <c r="P10" s="52">
        <v>44</v>
      </c>
      <c r="Q10" s="36"/>
      <c r="R10" s="59">
        <v>82</v>
      </c>
      <c r="S10" s="36"/>
      <c r="T10" s="55">
        <v>75</v>
      </c>
      <c r="U10" s="36"/>
      <c r="V10" s="62">
        <v>90</v>
      </c>
      <c r="W10" s="36"/>
      <c r="X10" s="61">
        <v>40</v>
      </c>
      <c r="Y10" s="36"/>
      <c r="Z10" s="62">
        <v>90</v>
      </c>
      <c r="AA10" s="36"/>
      <c r="AB10" s="33"/>
      <c r="AC10" s="37"/>
      <c r="AD10" s="39"/>
      <c r="AE10" s="36"/>
      <c r="AF10" s="32"/>
      <c r="AG10" s="36"/>
      <c r="AH10" s="33"/>
      <c r="AI10" s="36"/>
      <c r="AJ10" s="33"/>
      <c r="AK10" s="2"/>
    </row>
    <row r="11" spans="1:37" ht="15" thickBot="1" x14ac:dyDescent="0.35">
      <c r="A11" s="2"/>
      <c r="B11" s="4">
        <v>7</v>
      </c>
      <c r="C11" s="2"/>
      <c r="D11" s="7" t="str">
        <f>IF('Datos Generales'!C50&lt;&gt;"", 'Datos Generales'!C50, "")</f>
        <v>Lopez Mazate, Angel Mauricio</v>
      </c>
      <c r="E11" s="2"/>
      <c r="F11" s="53">
        <v>33</v>
      </c>
      <c r="G11" s="36"/>
      <c r="H11" s="53">
        <v>33</v>
      </c>
      <c r="I11" s="36"/>
      <c r="J11" s="85">
        <v>56.5</v>
      </c>
      <c r="K11" s="36"/>
      <c r="L11" s="51">
        <v>72</v>
      </c>
      <c r="M11" s="36"/>
      <c r="N11" s="52">
        <v>76</v>
      </c>
      <c r="O11" s="36"/>
      <c r="P11" s="51">
        <v>58</v>
      </c>
      <c r="Q11" s="36"/>
      <c r="R11" s="59">
        <v>61</v>
      </c>
      <c r="S11" s="36"/>
      <c r="T11" s="55">
        <v>60</v>
      </c>
      <c r="U11" s="36"/>
      <c r="V11" s="62">
        <v>90</v>
      </c>
      <c r="W11" s="36"/>
      <c r="X11" s="61">
        <v>40</v>
      </c>
      <c r="Y11" s="36"/>
      <c r="Z11" s="62">
        <v>87</v>
      </c>
      <c r="AA11" s="36"/>
      <c r="AB11" s="33"/>
      <c r="AC11" s="37"/>
      <c r="AD11" s="39"/>
      <c r="AE11" s="36"/>
      <c r="AF11" s="32"/>
      <c r="AG11" s="36"/>
      <c r="AH11" s="33"/>
      <c r="AI11" s="36"/>
      <c r="AJ11" s="33"/>
      <c r="AK11" s="2"/>
    </row>
    <row r="12" spans="1:37" ht="15" thickBot="1" x14ac:dyDescent="0.35">
      <c r="A12" s="2"/>
      <c r="B12" s="4">
        <v>8</v>
      </c>
      <c r="C12" s="2"/>
      <c r="D12" s="7" t="str">
        <f>IF('Datos Generales'!C51&lt;&gt;"", 'Datos Generales'!C51, "")</f>
        <v>López Yol, Diego Josué</v>
      </c>
      <c r="E12" s="2"/>
      <c r="F12" s="53">
        <v>65</v>
      </c>
      <c r="G12" s="36"/>
      <c r="H12" s="53">
        <v>65</v>
      </c>
      <c r="I12" s="36"/>
      <c r="J12" s="85">
        <v>64.5</v>
      </c>
      <c r="K12" s="36"/>
      <c r="L12" s="51">
        <v>89</v>
      </c>
      <c r="M12" s="36"/>
      <c r="N12" s="52">
        <v>89</v>
      </c>
      <c r="O12" s="36"/>
      <c r="P12" s="51">
        <v>70</v>
      </c>
      <c r="Q12" s="36"/>
      <c r="R12" s="59">
        <v>87</v>
      </c>
      <c r="S12" s="36"/>
      <c r="T12" s="55">
        <v>70</v>
      </c>
      <c r="U12" s="36"/>
      <c r="V12" s="62">
        <v>95</v>
      </c>
      <c r="W12" s="36"/>
      <c r="X12" s="61">
        <v>90</v>
      </c>
      <c r="Y12" s="36"/>
      <c r="Z12" s="62">
        <v>90</v>
      </c>
      <c r="AA12" s="36"/>
      <c r="AB12" s="33"/>
      <c r="AC12" s="37"/>
      <c r="AD12" s="39"/>
      <c r="AE12" s="36"/>
      <c r="AF12" s="32"/>
      <c r="AG12" s="36"/>
      <c r="AH12" s="33"/>
      <c r="AI12" s="36"/>
      <c r="AJ12" s="33"/>
      <c r="AK12" s="2"/>
    </row>
    <row r="13" spans="1:37" ht="15" thickBot="1" x14ac:dyDescent="0.35">
      <c r="A13" s="2"/>
      <c r="B13" s="4">
        <v>9</v>
      </c>
      <c r="C13" s="2"/>
      <c r="D13" s="7" t="str">
        <f>IF('Datos Generales'!C52&lt;&gt;"", 'Datos Generales'!C52, "")</f>
        <v>Luca Simaj, Maria Fernanda</v>
      </c>
      <c r="E13" s="2"/>
      <c r="F13" s="53">
        <v>57</v>
      </c>
      <c r="G13" s="36"/>
      <c r="H13" s="53">
        <v>57</v>
      </c>
      <c r="I13" s="36"/>
      <c r="J13" s="85">
        <v>81.5</v>
      </c>
      <c r="K13" s="36"/>
      <c r="L13" s="51">
        <v>74</v>
      </c>
      <c r="M13" s="36"/>
      <c r="N13" s="52">
        <v>93</v>
      </c>
      <c r="O13" s="36"/>
      <c r="P13" s="51">
        <v>99</v>
      </c>
      <c r="Q13" s="36"/>
      <c r="R13" s="59">
        <v>71</v>
      </c>
      <c r="S13" s="36"/>
      <c r="T13" s="55">
        <v>64</v>
      </c>
      <c r="U13" s="36"/>
      <c r="V13" s="62">
        <v>100</v>
      </c>
      <c r="W13" s="36"/>
      <c r="X13" s="61">
        <v>80</v>
      </c>
      <c r="Y13" s="36"/>
      <c r="Z13" s="62">
        <v>80</v>
      </c>
      <c r="AA13" s="36"/>
      <c r="AB13" s="33"/>
      <c r="AC13" s="37"/>
      <c r="AD13" s="39"/>
      <c r="AE13" s="36"/>
      <c r="AF13" s="32"/>
      <c r="AG13" s="36"/>
      <c r="AH13" s="33"/>
      <c r="AI13" s="36"/>
      <c r="AJ13" s="33"/>
      <c r="AK13" s="2"/>
    </row>
    <row r="14" spans="1:37" ht="15" thickBot="1" x14ac:dyDescent="0.35">
      <c r="A14" s="2"/>
      <c r="B14" s="4">
        <v>10</v>
      </c>
      <c r="C14" s="2"/>
      <c r="D14" s="7" t="str">
        <f>IF('Datos Generales'!C53&lt;&gt;"", 'Datos Generales'!C53, "")</f>
        <v>Marroquín Carcúz, Deyuli Mayerli</v>
      </c>
      <c r="E14" s="2"/>
      <c r="F14" s="53">
        <v>0</v>
      </c>
      <c r="G14" s="36"/>
      <c r="H14" s="53">
        <v>0</v>
      </c>
      <c r="I14" s="36"/>
      <c r="J14" s="86">
        <v>85</v>
      </c>
      <c r="K14" s="36"/>
      <c r="L14" s="51">
        <v>82</v>
      </c>
      <c r="M14" s="36"/>
      <c r="N14" s="52">
        <v>88</v>
      </c>
      <c r="O14" s="36"/>
      <c r="P14" s="51">
        <v>8</v>
      </c>
      <c r="Q14" s="36"/>
      <c r="R14" s="60">
        <v>0</v>
      </c>
      <c r="S14" s="36"/>
      <c r="T14" s="88">
        <v>100</v>
      </c>
      <c r="U14" s="36"/>
      <c r="V14" s="62">
        <v>95</v>
      </c>
      <c r="W14" s="36"/>
      <c r="X14" s="61">
        <v>90</v>
      </c>
      <c r="Y14" s="36"/>
      <c r="Z14" s="62"/>
      <c r="AA14" s="36"/>
      <c r="AB14" s="33"/>
      <c r="AC14" s="37"/>
      <c r="AD14" s="39"/>
      <c r="AE14" s="36"/>
      <c r="AF14" s="32"/>
      <c r="AG14" s="36"/>
      <c r="AH14" s="33"/>
      <c r="AI14" s="36"/>
      <c r="AJ14" s="33"/>
      <c r="AK14" s="2"/>
    </row>
    <row r="15" spans="1:37" ht="15" thickBot="1" x14ac:dyDescent="0.35">
      <c r="A15" s="2"/>
      <c r="B15" s="4">
        <v>11</v>
      </c>
      <c r="C15" s="2"/>
      <c r="D15" s="7" t="str">
        <f>IF('Datos Generales'!C54&lt;&gt;"", 'Datos Generales'!C54, "")</f>
        <v>Marroquín Larios, Yasmín Monserrat</v>
      </c>
      <c r="E15" s="2"/>
      <c r="F15" s="53">
        <v>47</v>
      </c>
      <c r="G15" s="36"/>
      <c r="H15" s="53">
        <v>47</v>
      </c>
      <c r="I15" s="36"/>
      <c r="J15" s="84">
        <v>62.5</v>
      </c>
      <c r="K15" s="36"/>
      <c r="L15" s="51">
        <v>80</v>
      </c>
      <c r="M15" s="36"/>
      <c r="N15" s="52">
        <v>82</v>
      </c>
      <c r="O15" s="36"/>
      <c r="P15" s="51">
        <v>89</v>
      </c>
      <c r="Q15" s="36"/>
      <c r="R15" s="59">
        <v>90</v>
      </c>
      <c r="S15" s="36"/>
      <c r="T15" s="55">
        <v>65</v>
      </c>
      <c r="U15" s="36"/>
      <c r="V15" s="62">
        <v>90</v>
      </c>
      <c r="W15" s="36"/>
      <c r="X15" s="61">
        <v>0</v>
      </c>
      <c r="Y15" s="36"/>
      <c r="Z15" s="62">
        <v>90</v>
      </c>
      <c r="AA15" s="36"/>
      <c r="AB15" s="33"/>
      <c r="AC15" s="37"/>
      <c r="AD15" s="39"/>
      <c r="AE15" s="36"/>
      <c r="AF15" s="32"/>
      <c r="AG15" s="36"/>
      <c r="AH15" s="33"/>
      <c r="AI15" s="36"/>
      <c r="AJ15" s="33"/>
      <c r="AK15" s="2"/>
    </row>
    <row r="16" spans="1:37" ht="15" thickBot="1" x14ac:dyDescent="0.35">
      <c r="A16" s="2"/>
      <c r="B16" s="4">
        <v>12</v>
      </c>
      <c r="C16" s="2"/>
      <c r="D16" s="7" t="str">
        <f>IF('Datos Generales'!C55&lt;&gt;"", 'Datos Generales'!C55, "")</f>
        <v>Marroquín Ramírez, Nilton Alexis</v>
      </c>
      <c r="E16" s="2"/>
      <c r="F16" s="53">
        <v>38</v>
      </c>
      <c r="G16" s="36"/>
      <c r="H16" s="53">
        <v>38</v>
      </c>
      <c r="I16" s="36"/>
      <c r="J16" s="84">
        <v>60</v>
      </c>
      <c r="K16" s="36"/>
      <c r="L16" s="51">
        <v>65</v>
      </c>
      <c r="M16" s="36"/>
      <c r="N16" s="52">
        <v>46</v>
      </c>
      <c r="O16" s="36"/>
      <c r="P16" s="51">
        <v>28</v>
      </c>
      <c r="Q16" s="36"/>
      <c r="R16" s="60">
        <v>40</v>
      </c>
      <c r="S16" s="36"/>
      <c r="T16" s="55">
        <v>95</v>
      </c>
      <c r="U16" s="36"/>
      <c r="V16" s="62">
        <v>90</v>
      </c>
      <c r="W16" s="36"/>
      <c r="X16" s="61">
        <v>90</v>
      </c>
      <c r="Y16" s="36"/>
      <c r="Z16" s="62">
        <v>90</v>
      </c>
      <c r="AA16" s="36"/>
      <c r="AB16" s="33"/>
      <c r="AC16" s="37"/>
      <c r="AD16" s="39"/>
      <c r="AE16" s="36"/>
      <c r="AF16" s="32"/>
      <c r="AG16" s="36"/>
      <c r="AH16" s="33"/>
      <c r="AI16" s="36"/>
      <c r="AJ16" s="33"/>
      <c r="AK16" s="2"/>
    </row>
    <row r="17" spans="1:37" ht="15" thickBot="1" x14ac:dyDescent="0.35">
      <c r="A17" s="2"/>
      <c r="B17" s="4">
        <v>13</v>
      </c>
      <c r="C17" s="2"/>
      <c r="D17" s="7" t="str">
        <f>IF('Datos Generales'!C56&lt;&gt;"", 'Datos Generales'!C56, "")</f>
        <v>Martínez Cuyún, María Inés</v>
      </c>
      <c r="E17" s="2"/>
      <c r="F17" s="53">
        <v>59</v>
      </c>
      <c r="G17" s="36"/>
      <c r="H17" s="53">
        <v>59</v>
      </c>
      <c r="I17" s="36"/>
      <c r="J17" s="84">
        <v>70</v>
      </c>
      <c r="K17" s="36"/>
      <c r="L17" s="51">
        <v>57</v>
      </c>
      <c r="M17" s="36"/>
      <c r="N17" s="52">
        <v>52</v>
      </c>
      <c r="O17" s="36"/>
      <c r="P17" s="51">
        <v>40</v>
      </c>
      <c r="Q17" s="36"/>
      <c r="R17" s="59">
        <v>79</v>
      </c>
      <c r="S17" s="36"/>
      <c r="T17" s="89">
        <v>54</v>
      </c>
      <c r="U17" s="36"/>
      <c r="V17" s="62">
        <v>90</v>
      </c>
      <c r="W17" s="36"/>
      <c r="X17" s="61">
        <v>80</v>
      </c>
      <c r="Y17" s="36"/>
      <c r="Z17" s="62">
        <v>90</v>
      </c>
      <c r="AA17" s="36"/>
      <c r="AB17" s="33"/>
      <c r="AC17" s="37"/>
      <c r="AD17" s="39"/>
      <c r="AE17" s="36"/>
      <c r="AF17" s="32"/>
      <c r="AG17" s="36"/>
      <c r="AH17" s="33"/>
      <c r="AI17" s="36"/>
      <c r="AJ17" s="33"/>
      <c r="AK17" s="2"/>
    </row>
    <row r="18" spans="1:37" ht="15" thickBot="1" x14ac:dyDescent="0.35">
      <c r="A18" s="2"/>
      <c r="B18" s="4">
        <v>14</v>
      </c>
      <c r="C18" s="2"/>
      <c r="D18" s="7" t="str">
        <f>IF('Datos Generales'!C57&lt;&gt;"", 'Datos Generales'!C57, "")</f>
        <v>Mendoza Romero, José Fernando</v>
      </c>
      <c r="E18" s="2"/>
      <c r="F18" s="53">
        <v>43</v>
      </c>
      <c r="G18" s="36"/>
      <c r="H18" s="53">
        <v>43</v>
      </c>
      <c r="I18" s="36"/>
      <c r="J18" s="84">
        <v>66.5</v>
      </c>
      <c r="K18" s="36"/>
      <c r="L18" s="51">
        <v>93</v>
      </c>
      <c r="M18" s="36"/>
      <c r="N18" s="52">
        <v>89</v>
      </c>
      <c r="O18" s="36"/>
      <c r="P18" s="51">
        <v>78</v>
      </c>
      <c r="Q18" s="36"/>
      <c r="R18" s="59">
        <v>90</v>
      </c>
      <c r="S18" s="36"/>
      <c r="T18" s="55">
        <v>67</v>
      </c>
      <c r="U18" s="36"/>
      <c r="V18" s="62">
        <v>30</v>
      </c>
      <c r="W18" s="36"/>
      <c r="X18" s="61">
        <v>80</v>
      </c>
      <c r="Y18" s="36"/>
      <c r="Z18" s="62">
        <v>87</v>
      </c>
      <c r="AA18" s="36"/>
      <c r="AB18" s="33"/>
      <c r="AC18" s="37"/>
      <c r="AD18" s="39"/>
      <c r="AE18" s="36"/>
      <c r="AF18" s="32"/>
      <c r="AG18" s="36"/>
      <c r="AH18" s="33"/>
      <c r="AI18" s="36"/>
      <c r="AJ18" s="33"/>
      <c r="AK18" s="2"/>
    </row>
    <row r="19" spans="1:37" ht="15" thickBot="1" x14ac:dyDescent="0.35">
      <c r="A19" s="2"/>
      <c r="B19" s="4">
        <v>15</v>
      </c>
      <c r="C19" s="2"/>
      <c r="D19" s="7" t="str">
        <f>IF('Datos Generales'!C58&lt;&gt;"", 'Datos Generales'!C58, "")</f>
        <v>Moctezuma Orenos, Kimberly Gabriela</v>
      </c>
      <c r="E19" s="2"/>
      <c r="F19" s="53">
        <v>0</v>
      </c>
      <c r="G19" s="36"/>
      <c r="H19" s="53">
        <v>0</v>
      </c>
      <c r="I19" s="36"/>
      <c r="J19" s="86">
        <v>65</v>
      </c>
      <c r="K19" s="36"/>
      <c r="L19" s="51">
        <v>30</v>
      </c>
      <c r="M19" s="36"/>
      <c r="N19" s="51">
        <v>40</v>
      </c>
      <c r="O19" s="36"/>
      <c r="P19" s="51">
        <v>30</v>
      </c>
      <c r="Q19" s="36"/>
      <c r="R19" s="60">
        <v>0</v>
      </c>
      <c r="S19" s="36"/>
      <c r="T19" s="90">
        <v>0</v>
      </c>
      <c r="U19" s="36"/>
      <c r="V19" s="62">
        <v>30</v>
      </c>
      <c r="W19" s="36"/>
      <c r="X19" s="61">
        <v>80</v>
      </c>
      <c r="Y19" s="36"/>
      <c r="Z19" s="62"/>
      <c r="AA19" s="36"/>
      <c r="AB19" s="33"/>
      <c r="AC19" s="37"/>
      <c r="AD19" s="39"/>
      <c r="AE19" s="36"/>
      <c r="AF19" s="32"/>
      <c r="AG19" s="36"/>
      <c r="AH19" s="33"/>
      <c r="AI19" s="36"/>
      <c r="AJ19" s="33"/>
      <c r="AK19" s="2"/>
    </row>
    <row r="20" spans="1:37" ht="15" thickBot="1" x14ac:dyDescent="0.35">
      <c r="A20" s="2"/>
      <c r="B20" s="4">
        <v>16</v>
      </c>
      <c r="C20" s="2"/>
      <c r="D20" s="7" t="str">
        <f>IF('Datos Generales'!C59&lt;&gt;"", 'Datos Generales'!C59, "")</f>
        <v>Oliva Romero, Jeremy Guillermo Santiago</v>
      </c>
      <c r="E20" s="2"/>
      <c r="F20" s="53">
        <v>75</v>
      </c>
      <c r="G20" s="36"/>
      <c r="H20" s="53">
        <v>75</v>
      </c>
      <c r="I20" s="36"/>
      <c r="J20" s="84">
        <v>90</v>
      </c>
      <c r="K20" s="36"/>
      <c r="L20" s="51">
        <v>100</v>
      </c>
      <c r="M20" s="36"/>
      <c r="N20" s="51">
        <v>100</v>
      </c>
      <c r="O20" s="36"/>
      <c r="P20" s="51">
        <v>60</v>
      </c>
      <c r="Q20" s="36"/>
      <c r="R20" s="59">
        <v>84</v>
      </c>
      <c r="S20" s="36"/>
      <c r="T20" s="55">
        <v>85</v>
      </c>
      <c r="U20" s="36"/>
      <c r="V20" s="62">
        <v>100</v>
      </c>
      <c r="W20" s="36"/>
      <c r="X20" s="61">
        <v>0</v>
      </c>
      <c r="Y20" s="36"/>
      <c r="Z20" s="62">
        <v>95</v>
      </c>
      <c r="AA20" s="36"/>
      <c r="AB20" s="33"/>
      <c r="AC20" s="37"/>
      <c r="AD20" s="39"/>
      <c r="AE20" s="36"/>
      <c r="AF20" s="32"/>
      <c r="AG20" s="36"/>
      <c r="AH20" s="33"/>
      <c r="AI20" s="36"/>
      <c r="AJ20" s="33"/>
      <c r="AK20" s="2"/>
    </row>
    <row r="21" spans="1:37" ht="15" thickBot="1" x14ac:dyDescent="0.35">
      <c r="A21" s="2"/>
      <c r="B21" s="4">
        <v>17</v>
      </c>
      <c r="C21" s="2"/>
      <c r="D21" s="7" t="str">
        <f>IF('Datos Generales'!C60&lt;&gt;"", 'Datos Generales'!C60, "")</f>
        <v>Pérez Días, Britany Xiomara</v>
      </c>
      <c r="E21" s="2"/>
      <c r="F21" s="53">
        <v>60</v>
      </c>
      <c r="G21" s="36"/>
      <c r="H21" s="53">
        <v>60</v>
      </c>
      <c r="I21" s="36"/>
      <c r="J21" s="84">
        <v>78.5</v>
      </c>
      <c r="K21" s="36"/>
      <c r="L21" s="51">
        <v>69</v>
      </c>
      <c r="M21" s="36"/>
      <c r="N21" s="51">
        <v>80</v>
      </c>
      <c r="O21" s="36"/>
      <c r="P21" s="51">
        <v>70</v>
      </c>
      <c r="Q21" s="36"/>
      <c r="R21" s="59">
        <v>90</v>
      </c>
      <c r="S21" s="36"/>
      <c r="T21" s="55">
        <v>98</v>
      </c>
      <c r="U21" s="36"/>
      <c r="V21" s="62">
        <v>90</v>
      </c>
      <c r="W21" s="36"/>
      <c r="X21" s="61">
        <v>80</v>
      </c>
      <c r="Y21" s="36"/>
      <c r="Z21" s="62">
        <v>90</v>
      </c>
      <c r="AA21" s="36"/>
      <c r="AB21" s="33"/>
      <c r="AC21" s="37"/>
      <c r="AD21" s="39"/>
      <c r="AE21" s="36"/>
      <c r="AF21" s="32"/>
      <c r="AG21" s="36"/>
      <c r="AH21" s="33"/>
      <c r="AI21" s="36"/>
      <c r="AJ21" s="33"/>
      <c r="AK21" s="2"/>
    </row>
    <row r="22" spans="1:37" ht="15" thickBot="1" x14ac:dyDescent="0.35">
      <c r="A22" s="2"/>
      <c r="B22" s="4">
        <v>18</v>
      </c>
      <c r="C22" s="2"/>
      <c r="D22" s="7" t="str">
        <f>IF('Datos Generales'!C61&lt;&gt;"", 'Datos Generales'!C61, "")</f>
        <v>Pérez Quiñonez, Jonatan Ivan</v>
      </c>
      <c r="E22" s="2"/>
      <c r="F22" s="53">
        <v>49</v>
      </c>
      <c r="G22" s="36"/>
      <c r="H22" s="53">
        <v>49</v>
      </c>
      <c r="I22" s="36"/>
      <c r="J22" s="84">
        <v>74</v>
      </c>
      <c r="K22" s="36"/>
      <c r="L22" s="51">
        <v>63</v>
      </c>
      <c r="M22" s="36"/>
      <c r="N22" s="51">
        <v>89</v>
      </c>
      <c r="O22" s="36"/>
      <c r="P22" s="51">
        <v>84</v>
      </c>
      <c r="Q22" s="36"/>
      <c r="R22" s="59">
        <v>100</v>
      </c>
      <c r="S22" s="36"/>
      <c r="T22" s="89">
        <v>56</v>
      </c>
      <c r="U22" s="36"/>
      <c r="V22" s="62">
        <v>95</v>
      </c>
      <c r="W22" s="36"/>
      <c r="X22" s="61">
        <v>90</v>
      </c>
      <c r="Y22" s="36"/>
      <c r="Z22" s="62">
        <v>90</v>
      </c>
      <c r="AA22" s="36"/>
      <c r="AB22" s="33"/>
      <c r="AC22" s="37"/>
      <c r="AD22" s="39"/>
      <c r="AE22" s="36"/>
      <c r="AF22" s="32"/>
      <c r="AG22" s="36"/>
      <c r="AH22" s="33"/>
      <c r="AI22" s="36"/>
      <c r="AJ22" s="33"/>
      <c r="AK22" s="2"/>
    </row>
    <row r="23" spans="1:37" ht="15" thickBot="1" x14ac:dyDescent="0.35">
      <c r="A23" s="2"/>
      <c r="B23" s="4">
        <v>19</v>
      </c>
      <c r="C23" s="2"/>
      <c r="D23" s="7" t="str">
        <f>IF('Datos Generales'!C62&lt;&gt;"", 'Datos Generales'!C62, "")</f>
        <v>Pichillá Castillo, Andrea Paola</v>
      </c>
      <c r="E23" s="2"/>
      <c r="F23" s="53">
        <v>67</v>
      </c>
      <c r="G23" s="36"/>
      <c r="H23" s="53">
        <v>67</v>
      </c>
      <c r="I23" s="36"/>
      <c r="J23" s="84">
        <v>87</v>
      </c>
      <c r="K23" s="36"/>
      <c r="L23" s="51">
        <v>93</v>
      </c>
      <c r="M23" s="36"/>
      <c r="N23" s="51">
        <v>94</v>
      </c>
      <c r="O23" s="36"/>
      <c r="P23" s="51">
        <v>94</v>
      </c>
      <c r="Q23" s="36"/>
      <c r="R23" s="59">
        <v>95</v>
      </c>
      <c r="S23" s="36"/>
      <c r="T23" s="55">
        <v>81</v>
      </c>
      <c r="U23" s="36"/>
      <c r="V23" s="62">
        <v>100</v>
      </c>
      <c r="W23" s="36"/>
      <c r="X23" s="61">
        <v>80</v>
      </c>
      <c r="Y23" s="36"/>
      <c r="Z23" s="62">
        <v>88</v>
      </c>
      <c r="AA23" s="36"/>
      <c r="AB23" s="33"/>
      <c r="AC23" s="37"/>
      <c r="AD23" s="39"/>
      <c r="AE23" s="36"/>
      <c r="AF23" s="32"/>
      <c r="AG23" s="36"/>
      <c r="AH23" s="33"/>
      <c r="AI23" s="36"/>
      <c r="AJ23" s="33"/>
      <c r="AK23" s="2"/>
    </row>
    <row r="24" spans="1:37" ht="15" thickBot="1" x14ac:dyDescent="0.35">
      <c r="A24" s="2"/>
      <c r="B24" s="4">
        <v>20</v>
      </c>
      <c r="C24" s="2"/>
      <c r="D24" s="7" t="str">
        <f>IF('Datos Generales'!C63&lt;&gt;"", 'Datos Generales'!C63, "")</f>
        <v>Quina Melendez, Erika Yustina</v>
      </c>
      <c r="E24" s="2"/>
      <c r="F24" s="53">
        <v>58</v>
      </c>
      <c r="G24" s="36"/>
      <c r="H24" s="53">
        <v>58</v>
      </c>
      <c r="I24" s="36"/>
      <c r="J24" s="84">
        <v>64</v>
      </c>
      <c r="K24" s="36"/>
      <c r="L24" s="51">
        <v>88</v>
      </c>
      <c r="M24" s="36"/>
      <c r="N24" s="51">
        <v>100</v>
      </c>
      <c r="O24" s="36"/>
      <c r="P24" s="51">
        <v>87</v>
      </c>
      <c r="Q24" s="36"/>
      <c r="R24" s="59">
        <v>76</v>
      </c>
      <c r="S24" s="36"/>
      <c r="T24" s="55">
        <v>79</v>
      </c>
      <c r="U24" s="36"/>
      <c r="V24" s="62">
        <v>100</v>
      </c>
      <c r="W24" s="36"/>
      <c r="X24" s="61">
        <v>90</v>
      </c>
      <c r="Y24" s="36"/>
      <c r="Z24" s="62">
        <v>90</v>
      </c>
      <c r="AA24" s="36"/>
      <c r="AB24" s="33"/>
      <c r="AC24" s="37"/>
      <c r="AD24" s="39"/>
      <c r="AE24" s="36"/>
      <c r="AF24" s="32"/>
      <c r="AG24" s="36"/>
      <c r="AH24" s="33"/>
      <c r="AI24" s="36"/>
      <c r="AJ24" s="33"/>
      <c r="AK24" s="2"/>
    </row>
    <row r="25" spans="1:37" ht="15" thickBot="1" x14ac:dyDescent="0.35">
      <c r="A25" s="2"/>
      <c r="B25" s="4">
        <v>21</v>
      </c>
      <c r="C25" s="2"/>
      <c r="D25" s="7" t="str">
        <f>IF('Datos Generales'!C64&lt;&gt;"", 'Datos Generales'!C64, "")</f>
        <v>Quiñonez García, Estefani Mariela</v>
      </c>
      <c r="E25" s="2"/>
      <c r="F25" s="53">
        <v>61</v>
      </c>
      <c r="G25" s="36"/>
      <c r="H25" s="53">
        <v>61</v>
      </c>
      <c r="I25" s="36"/>
      <c r="J25" s="84">
        <v>62</v>
      </c>
      <c r="K25" s="36"/>
      <c r="L25" s="51">
        <v>66</v>
      </c>
      <c r="M25" s="36"/>
      <c r="N25" s="51">
        <v>60</v>
      </c>
      <c r="O25" s="36"/>
      <c r="P25" s="51">
        <v>48</v>
      </c>
      <c r="Q25" s="36"/>
      <c r="R25" s="59">
        <v>100</v>
      </c>
      <c r="S25" s="36"/>
      <c r="T25" s="55">
        <v>75</v>
      </c>
      <c r="U25" s="36"/>
      <c r="V25" s="62">
        <v>95</v>
      </c>
      <c r="W25" s="36"/>
      <c r="X25" s="61">
        <v>80</v>
      </c>
      <c r="Y25" s="36"/>
      <c r="Z25" s="62">
        <v>80</v>
      </c>
      <c r="AA25" s="36"/>
      <c r="AB25" s="33"/>
      <c r="AC25" s="37"/>
      <c r="AD25" s="39"/>
      <c r="AE25" s="36"/>
      <c r="AF25" s="32"/>
      <c r="AG25" s="36"/>
      <c r="AH25" s="33"/>
      <c r="AI25" s="36"/>
      <c r="AJ25" s="33"/>
      <c r="AK25" s="2"/>
    </row>
    <row r="26" spans="1:37" ht="15" thickBot="1" x14ac:dyDescent="0.35">
      <c r="A26" s="2"/>
      <c r="B26" s="4">
        <v>22</v>
      </c>
      <c r="C26" s="2"/>
      <c r="D26" s="7" t="str">
        <f>IF('Datos Generales'!C65&lt;&gt;"", 'Datos Generales'!C65, "")</f>
        <v>Reyes Romero, José Ángel Estuardo</v>
      </c>
      <c r="E26" s="2"/>
      <c r="F26" s="53">
        <v>82</v>
      </c>
      <c r="G26" s="36"/>
      <c r="H26" s="53">
        <v>82</v>
      </c>
      <c r="I26" s="36"/>
      <c r="J26" s="86">
        <v>86.5</v>
      </c>
      <c r="K26" s="36"/>
      <c r="L26" s="51">
        <v>98</v>
      </c>
      <c r="M26" s="36"/>
      <c r="N26" s="51">
        <v>100</v>
      </c>
      <c r="O26" s="36"/>
      <c r="P26" s="51">
        <v>97</v>
      </c>
      <c r="Q26" s="36"/>
      <c r="R26" s="59">
        <v>100</v>
      </c>
      <c r="S26" s="36"/>
      <c r="T26" s="55">
        <v>75</v>
      </c>
      <c r="U26" s="36"/>
      <c r="V26" s="62">
        <v>100</v>
      </c>
      <c r="W26" s="36"/>
      <c r="X26" s="61">
        <v>80</v>
      </c>
      <c r="Y26" s="36"/>
      <c r="Z26" s="62">
        <v>90</v>
      </c>
      <c r="AA26" s="36"/>
      <c r="AB26" s="33"/>
      <c r="AC26" s="37"/>
      <c r="AD26" s="39"/>
      <c r="AE26" s="36"/>
      <c r="AF26" s="32"/>
      <c r="AG26" s="36"/>
      <c r="AH26" s="33"/>
      <c r="AI26" s="36"/>
      <c r="AJ26" s="33"/>
      <c r="AK26" s="2"/>
    </row>
    <row r="27" spans="1:37" ht="15" thickBot="1" x14ac:dyDescent="0.35">
      <c r="A27" s="2"/>
      <c r="B27" s="4">
        <v>23</v>
      </c>
      <c r="C27" s="2"/>
      <c r="D27" s="7" t="str">
        <f>IF('Datos Generales'!C66&lt;&gt;"", 'Datos Generales'!C66, "")</f>
        <v>Tejaxun Gil, Oliver Alexander</v>
      </c>
      <c r="E27" s="2"/>
      <c r="F27" s="53">
        <v>42</v>
      </c>
      <c r="G27" s="36"/>
      <c r="H27" s="53">
        <v>42</v>
      </c>
      <c r="I27" s="36"/>
      <c r="J27" s="84">
        <v>50</v>
      </c>
      <c r="K27" s="36"/>
      <c r="L27" s="51">
        <v>78</v>
      </c>
      <c r="M27" s="36"/>
      <c r="N27" s="51">
        <v>39</v>
      </c>
      <c r="O27" s="36"/>
      <c r="P27" s="51">
        <v>18</v>
      </c>
      <c r="Q27" s="36"/>
      <c r="R27" s="59">
        <v>100</v>
      </c>
      <c r="S27" s="36"/>
      <c r="T27" s="55">
        <v>79</v>
      </c>
      <c r="U27" s="36"/>
      <c r="V27" s="62">
        <v>90</v>
      </c>
      <c r="W27" s="36"/>
      <c r="X27" s="61">
        <v>90</v>
      </c>
      <c r="Y27" s="36"/>
      <c r="Z27" s="62">
        <v>85</v>
      </c>
      <c r="AA27" s="36"/>
      <c r="AB27" s="33"/>
      <c r="AC27" s="37"/>
      <c r="AD27" s="39"/>
      <c r="AE27" s="36"/>
      <c r="AF27" s="32"/>
      <c r="AG27" s="36"/>
      <c r="AH27" s="33"/>
      <c r="AI27" s="36"/>
      <c r="AJ27" s="33"/>
      <c r="AK27" s="2"/>
    </row>
    <row r="28" spans="1:37" ht="15" thickBot="1" x14ac:dyDescent="0.35">
      <c r="A28" s="2"/>
      <c r="B28" s="4">
        <v>24</v>
      </c>
      <c r="C28" s="2"/>
      <c r="D28" s="7" t="str">
        <f>IF('Datos Generales'!C67&lt;&gt;"", 'Datos Generales'!C67, "")</f>
        <v>Tubac Paniagua, Walter Saúl</v>
      </c>
      <c r="E28" s="2"/>
      <c r="F28" s="53">
        <v>54</v>
      </c>
      <c r="G28" s="36"/>
      <c r="H28" s="53">
        <v>54</v>
      </c>
      <c r="I28" s="36"/>
      <c r="J28" s="84">
        <v>74</v>
      </c>
      <c r="K28" s="36"/>
      <c r="L28" s="87">
        <v>67</v>
      </c>
      <c r="M28" s="36"/>
      <c r="N28" s="51">
        <v>79</v>
      </c>
      <c r="O28" s="36"/>
      <c r="P28" s="87">
        <v>70</v>
      </c>
      <c r="Q28" s="36"/>
      <c r="R28" s="59">
        <v>100</v>
      </c>
      <c r="S28" s="36"/>
      <c r="T28" s="59">
        <v>78</v>
      </c>
      <c r="U28" s="36"/>
      <c r="V28" s="91">
        <v>95</v>
      </c>
      <c r="W28" s="36"/>
      <c r="X28" s="61">
        <v>80</v>
      </c>
      <c r="Y28" s="36"/>
      <c r="Z28" s="87">
        <v>90</v>
      </c>
      <c r="AA28" s="36"/>
      <c r="AB28" s="33"/>
      <c r="AC28" s="37"/>
      <c r="AD28" s="39"/>
      <c r="AE28" s="36"/>
      <c r="AF28" s="32"/>
      <c r="AG28" s="36"/>
      <c r="AH28" s="33"/>
      <c r="AI28" s="36"/>
      <c r="AJ28" s="33"/>
      <c r="AK28" s="2"/>
    </row>
    <row r="29" spans="1:37" ht="15" thickBot="1" x14ac:dyDescent="0.35">
      <c r="A29" s="2"/>
      <c r="B29" s="4">
        <v>25</v>
      </c>
      <c r="C29" s="2"/>
      <c r="D29" s="7" t="str">
        <f>IF('Datos Generales'!C68&lt;&gt;"", 'Datos Generales'!C68, "")</f>
        <v>López Magarín, Esaú César Armando</v>
      </c>
      <c r="E29" s="2"/>
      <c r="F29" s="53">
        <v>12</v>
      </c>
      <c r="G29" s="36"/>
      <c r="H29" s="53">
        <v>12</v>
      </c>
      <c r="I29" s="36"/>
      <c r="J29" s="85">
        <v>7</v>
      </c>
      <c r="K29" s="36"/>
      <c r="L29" s="52">
        <v>24</v>
      </c>
      <c r="M29" s="36"/>
      <c r="N29" s="52">
        <v>38</v>
      </c>
      <c r="O29" s="36"/>
      <c r="P29" s="52">
        <v>26</v>
      </c>
      <c r="Q29" s="36"/>
      <c r="R29" s="59">
        <v>80</v>
      </c>
      <c r="S29" s="36"/>
      <c r="T29" s="55">
        <v>68</v>
      </c>
      <c r="U29" s="36"/>
      <c r="V29" s="62">
        <v>30</v>
      </c>
      <c r="W29" s="36"/>
      <c r="X29" s="61">
        <v>80</v>
      </c>
      <c r="Y29" s="36"/>
      <c r="Z29" s="62">
        <v>70</v>
      </c>
      <c r="AA29" s="36"/>
      <c r="AB29" s="33"/>
      <c r="AC29" s="37"/>
      <c r="AD29" s="39"/>
      <c r="AE29" s="36"/>
      <c r="AF29" s="32"/>
      <c r="AG29" s="36"/>
      <c r="AH29" s="33"/>
      <c r="AI29" s="36"/>
      <c r="AJ29" s="33"/>
      <c r="AK29" s="2"/>
    </row>
    <row r="30" spans="1:37" ht="15" thickBot="1" x14ac:dyDescent="0.35">
      <c r="A30" s="2"/>
      <c r="B30" s="4">
        <v>26</v>
      </c>
      <c r="C30" s="2"/>
      <c r="D30" s="7" t="str">
        <f>IF('Datos Generales'!C69&lt;&gt;"", 'Datos Generales'!C69, "")</f>
        <v/>
      </c>
      <c r="E30" s="2"/>
      <c r="Y30" s="36"/>
      <c r="Z30" s="33"/>
      <c r="AA30" s="36"/>
      <c r="AB30" s="33"/>
      <c r="AC30" s="37"/>
      <c r="AD30" s="39"/>
      <c r="AE30" s="36"/>
      <c r="AF30" s="32"/>
      <c r="AG30" s="36"/>
      <c r="AH30" s="33"/>
      <c r="AI30" s="36"/>
      <c r="AJ30" s="33"/>
      <c r="AK30" s="2"/>
    </row>
    <row r="31" spans="1:37" ht="15" thickBot="1" x14ac:dyDescent="0.35">
      <c r="A31" s="2"/>
      <c r="B31" s="4">
        <v>27</v>
      </c>
      <c r="C31" s="2"/>
      <c r="D31" s="7" t="str">
        <f>IF('Datos Generales'!C70&lt;&gt;"", 'Datos Generales'!C70, "")</f>
        <v/>
      </c>
      <c r="E31" s="2"/>
      <c r="Y31" s="36"/>
      <c r="Z31" s="33"/>
      <c r="AA31" s="36"/>
      <c r="AB31" s="33"/>
      <c r="AC31" s="37"/>
      <c r="AD31" s="39"/>
      <c r="AE31" s="36"/>
      <c r="AF31" s="32"/>
      <c r="AG31" s="36"/>
      <c r="AH31" s="33"/>
      <c r="AI31" s="36"/>
      <c r="AJ31" s="33"/>
      <c r="AK31" s="2"/>
    </row>
    <row r="32" spans="1:37" ht="15" thickBot="1" x14ac:dyDescent="0.35">
      <c r="A32" s="2"/>
      <c r="B32" s="4">
        <v>28</v>
      </c>
      <c r="C32" s="2"/>
      <c r="D32" s="7" t="str">
        <f>IF('Datos Generales'!C71&lt;&gt;"", 'Datos Generales'!C71, "")</f>
        <v/>
      </c>
      <c r="E32" s="2"/>
      <c r="Y32" s="36"/>
      <c r="Z32" s="33"/>
      <c r="AA32" s="36"/>
      <c r="AB32" s="33"/>
      <c r="AC32" s="37"/>
      <c r="AD32" s="39"/>
      <c r="AE32" s="36"/>
      <c r="AF32" s="32"/>
      <c r="AG32" s="36"/>
      <c r="AH32" s="33"/>
      <c r="AI32" s="36"/>
      <c r="AJ32" s="33"/>
      <c r="AK32" s="2"/>
    </row>
    <row r="33" spans="1:37" ht="15" thickBot="1" x14ac:dyDescent="0.35">
      <c r="A33" s="2"/>
      <c r="B33" s="4">
        <v>29</v>
      </c>
      <c r="C33" s="2"/>
      <c r="D33" s="7" t="str">
        <f>IF('Datos Generales'!C72&lt;&gt;"", 'Datos Generales'!C72, "")</f>
        <v/>
      </c>
      <c r="E33" s="2"/>
      <c r="Y33" s="36"/>
      <c r="Z33" s="33"/>
      <c r="AA33" s="36"/>
      <c r="AB33" s="33"/>
      <c r="AC33" s="37"/>
      <c r="AD33" s="39"/>
      <c r="AE33" s="36"/>
      <c r="AF33" s="32"/>
      <c r="AG33" s="36"/>
      <c r="AH33" s="33"/>
      <c r="AI33" s="36"/>
      <c r="AJ33" s="33"/>
      <c r="AK33" s="2"/>
    </row>
    <row r="34" spans="1:37" ht="15" thickBot="1" x14ac:dyDescent="0.35">
      <c r="A34" s="2"/>
      <c r="B34" s="4">
        <v>30</v>
      </c>
      <c r="C34" s="2"/>
      <c r="D34" s="7" t="str">
        <f>IF('Datos Generales'!C73&lt;&gt;"", 'Datos Generales'!C73, "")</f>
        <v/>
      </c>
      <c r="E34" s="2"/>
      <c r="Y34" s="36"/>
      <c r="Z34" s="33"/>
      <c r="AA34" s="36"/>
      <c r="AB34" s="33"/>
      <c r="AC34" s="37"/>
      <c r="AD34" s="39"/>
      <c r="AE34" s="36"/>
      <c r="AF34" s="32"/>
      <c r="AG34" s="36"/>
      <c r="AH34" s="33"/>
      <c r="AI34" s="36"/>
      <c r="AJ34" s="33"/>
      <c r="AK34" s="2"/>
    </row>
    <row r="35" spans="1:37" ht="15" thickBot="1" x14ac:dyDescent="0.35">
      <c r="A35" s="2"/>
      <c r="B35" s="4">
        <v>31</v>
      </c>
      <c r="C35" s="2"/>
      <c r="D35" s="7" t="str">
        <f>IF('Datos Generales'!C74&lt;&gt;"", 'Datos Generales'!C74, "")</f>
        <v/>
      </c>
      <c r="E35" s="2"/>
      <c r="Y35" s="36"/>
      <c r="Z35" s="33"/>
      <c r="AA35" s="36"/>
      <c r="AB35" s="33"/>
      <c r="AC35" s="37"/>
      <c r="AD35" s="39"/>
      <c r="AE35" s="36"/>
      <c r="AF35" s="32"/>
      <c r="AG35" s="36"/>
      <c r="AH35" s="33"/>
      <c r="AI35" s="36"/>
      <c r="AJ35" s="33"/>
      <c r="AK35" s="2"/>
    </row>
    <row r="36" spans="1:37" ht="15" thickBot="1" x14ac:dyDescent="0.35">
      <c r="A36" s="2"/>
      <c r="B36" s="4">
        <v>32</v>
      </c>
      <c r="C36" s="2"/>
      <c r="D36" s="7" t="str">
        <f>IF('Datos Generales'!C75&lt;&gt;"", 'Datos Generales'!C75, "")</f>
        <v/>
      </c>
      <c r="E36" s="2"/>
      <c r="F36" s="34"/>
      <c r="G36" s="36"/>
      <c r="H36" s="31"/>
      <c r="I36" s="36"/>
      <c r="J36" s="39"/>
      <c r="K36" s="36"/>
      <c r="L36" s="39"/>
      <c r="M36" s="36"/>
      <c r="N36" s="40"/>
      <c r="O36" s="36"/>
      <c r="P36" s="39"/>
      <c r="Q36" s="36"/>
      <c r="R36" s="33"/>
      <c r="S36" s="36"/>
      <c r="T36" s="33"/>
      <c r="U36" s="36"/>
      <c r="V36" s="39"/>
      <c r="W36" s="36"/>
      <c r="X36" s="32"/>
      <c r="Y36" s="36"/>
      <c r="Z36" s="33"/>
      <c r="AA36" s="36"/>
      <c r="AB36" s="33"/>
      <c r="AC36" s="37"/>
      <c r="AD36" s="39"/>
      <c r="AE36" s="36"/>
      <c r="AF36" s="32"/>
      <c r="AG36" s="36"/>
      <c r="AH36" s="33"/>
      <c r="AI36" s="36"/>
      <c r="AJ36" s="33"/>
      <c r="AK36" s="2"/>
    </row>
    <row r="37" spans="1:37" ht="15" thickBot="1" x14ac:dyDescent="0.35">
      <c r="A37" s="2"/>
      <c r="B37" s="4">
        <v>33</v>
      </c>
      <c r="C37" s="2"/>
      <c r="D37" s="7" t="str">
        <f>IF('Datos Generales'!C76&lt;&gt;"", 'Datos Generales'!C76, "")</f>
        <v/>
      </c>
      <c r="E37" s="2"/>
      <c r="F37" s="34"/>
      <c r="G37" s="36"/>
      <c r="H37" s="31"/>
      <c r="I37" s="36"/>
      <c r="J37" s="39"/>
      <c r="K37" s="36"/>
      <c r="L37" s="39"/>
      <c r="M37" s="36"/>
      <c r="N37" s="40"/>
      <c r="O37" s="36"/>
      <c r="P37" s="39"/>
      <c r="Q37" s="36"/>
      <c r="R37" s="33"/>
      <c r="S37" s="36"/>
      <c r="T37" s="33"/>
      <c r="U37" s="36"/>
      <c r="V37" s="39"/>
      <c r="W37" s="36"/>
      <c r="X37" s="32"/>
      <c r="Y37" s="36"/>
      <c r="Z37" s="33"/>
      <c r="AA37" s="36"/>
      <c r="AB37" s="33"/>
      <c r="AC37" s="37"/>
      <c r="AD37" s="39"/>
      <c r="AE37" s="36"/>
      <c r="AF37" s="32"/>
      <c r="AG37" s="36"/>
      <c r="AH37" s="33"/>
      <c r="AI37" s="36"/>
      <c r="AJ37" s="33"/>
      <c r="AK37" s="2"/>
    </row>
    <row r="38" spans="1:37" ht="15" thickBot="1" x14ac:dyDescent="0.35">
      <c r="A38" s="2"/>
      <c r="B38" s="4">
        <v>34</v>
      </c>
      <c r="C38" s="2"/>
      <c r="D38" s="7" t="str">
        <f>IF('Datos Generales'!C77&lt;&gt;"", 'Datos Generales'!C77, "")</f>
        <v/>
      </c>
      <c r="E38" s="2"/>
      <c r="Y38" s="36"/>
      <c r="Z38" s="33"/>
      <c r="AA38" s="36"/>
      <c r="AB38" s="33"/>
      <c r="AC38" s="37"/>
      <c r="AD38" s="39"/>
      <c r="AE38" s="36"/>
      <c r="AF38" s="32"/>
      <c r="AG38" s="36"/>
      <c r="AH38" s="33"/>
      <c r="AI38" s="36"/>
      <c r="AJ38" s="33"/>
      <c r="AK38" s="2"/>
    </row>
    <row r="39" spans="1:37" ht="15" thickBot="1" x14ac:dyDescent="0.35">
      <c r="A39" s="2"/>
      <c r="B39" s="4">
        <v>35</v>
      </c>
      <c r="C39" s="2"/>
      <c r="D39" s="7" t="str">
        <f>IF('Datos Generales'!C78&lt;&gt;"", 'Datos Generales'!C78, "")</f>
        <v/>
      </c>
      <c r="E39" s="2"/>
      <c r="F39" s="34"/>
      <c r="G39" s="36"/>
      <c r="H39" s="31"/>
      <c r="I39" s="36"/>
      <c r="J39" s="39"/>
      <c r="K39" s="36"/>
      <c r="L39" s="39"/>
      <c r="M39" s="36"/>
      <c r="N39" s="40"/>
      <c r="O39" s="36"/>
      <c r="P39" s="41"/>
      <c r="Q39" s="36"/>
      <c r="R39" s="33"/>
      <c r="S39" s="36"/>
      <c r="T39" s="33"/>
      <c r="U39" s="36"/>
      <c r="V39" s="39"/>
      <c r="W39" s="36"/>
      <c r="X39" s="32"/>
      <c r="Y39" s="36"/>
      <c r="Z39" s="33"/>
      <c r="AA39" s="36"/>
      <c r="AB39" s="33"/>
      <c r="AC39" s="37"/>
      <c r="AD39" s="39"/>
      <c r="AE39" s="36"/>
      <c r="AF39" s="32"/>
      <c r="AG39" s="36"/>
      <c r="AH39" s="33"/>
      <c r="AI39" s="36"/>
      <c r="AJ39" s="33"/>
      <c r="AK39" s="2"/>
    </row>
    <row r="40" spans="1:37" ht="8.1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6"/>
      <c r="AD40" s="2"/>
      <c r="AE40" s="2"/>
      <c r="AF40" s="2"/>
      <c r="AG40" s="2"/>
      <c r="AH40" s="2"/>
      <c r="AI40" s="2"/>
      <c r="AJ40" s="2"/>
      <c r="AK40" s="2"/>
    </row>
  </sheetData>
  <mergeCells count="17">
    <mergeCell ref="AH2:AH3"/>
    <mergeCell ref="F1:AJ1"/>
    <mergeCell ref="F2:F3"/>
    <mergeCell ref="H2:H3"/>
    <mergeCell ref="J2:J3"/>
    <mergeCell ref="L2:L3"/>
    <mergeCell ref="N2:N3"/>
    <mergeCell ref="P2:P3"/>
    <mergeCell ref="R2:R3"/>
    <mergeCell ref="T2:T3"/>
    <mergeCell ref="V2:V3"/>
    <mergeCell ref="AJ2:AJ3"/>
    <mergeCell ref="X2:X3"/>
    <mergeCell ref="Z2:Z3"/>
    <mergeCell ref="AB2:AB3"/>
    <mergeCell ref="AD2:AD3"/>
    <mergeCell ref="AF2:AF3"/>
  </mergeCells>
  <conditionalFormatting sqref="F5:F29 H5:H29 J5:J29 L5:L29 P5:P29 T5:T29 R5:R29 V5:V29 N5:N29">
    <cfRule type="cellIs" dxfId="52" priority="18" operator="lessThan">
      <formula>60</formula>
    </cfRule>
  </conditionalFormatting>
  <conditionalFormatting sqref="N28">
    <cfRule type="cellIs" dxfId="51" priority="7" operator="lessThan">
      <formula>60</formula>
    </cfRule>
  </conditionalFormatting>
  <conditionalFormatting sqref="Z5:Z29">
    <cfRule type="cellIs" dxfId="50" priority="5" operator="lessThan">
      <formula>60</formula>
    </cfRule>
  </conditionalFormatting>
  <conditionalFormatting sqref="X29">
    <cfRule type="cellIs" dxfId="49" priority="2" operator="lessThan">
      <formula>60</formula>
    </cfRule>
  </conditionalFormatting>
  <conditionalFormatting sqref="X5:X28">
    <cfRule type="cellIs" dxfId="48" priority="1" operator="lessThan">
      <formula>60</formula>
    </cfRule>
  </conditionalFormatting>
  <pageMargins left="0.7" right="0.7" top="0.75" bottom="0.75" header="0.3" footer="0.3"/>
  <pageSetup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BA63E-8A68-435E-81A7-35EF78A3EBD0}">
  <sheetPr codeName="Sheet4">
    <tabColor theme="9" tint="-0.249977111117893"/>
  </sheetPr>
  <dimension ref="A1:AK40"/>
  <sheetViews>
    <sheetView showGridLines="0" topLeftCell="A3" zoomScale="85" zoomScaleNormal="85" workbookViewId="0">
      <selection activeCell="Z27" sqref="Z27"/>
    </sheetView>
  </sheetViews>
  <sheetFormatPr baseColWidth="10" defaultColWidth="11.44140625" defaultRowHeight="14.4" x14ac:dyDescent="0.3"/>
  <cols>
    <col min="1" max="1" width="0.88671875" style="1" customWidth="1"/>
    <col min="2" max="2" width="4.6640625" style="1" customWidth="1"/>
    <col min="3" max="3" width="0.88671875" style="1" customWidth="1"/>
    <col min="4" max="4" width="33.109375" style="1" customWidth="1"/>
    <col min="5" max="5" width="0.88671875" style="1" customWidth="1"/>
    <col min="6" max="6" width="5.6640625" style="1" customWidth="1"/>
    <col min="7" max="7" width="0.88671875" style="1" customWidth="1"/>
    <col min="8" max="8" width="5.6640625" style="1" customWidth="1"/>
    <col min="9" max="9" width="0.88671875" style="1" customWidth="1"/>
    <col min="10" max="10" width="5.6640625" style="1" customWidth="1"/>
    <col min="11" max="11" width="0.88671875" style="1" customWidth="1"/>
    <col min="12" max="12" width="5.6640625" style="1" customWidth="1"/>
    <col min="13" max="13" width="0.88671875" style="1" customWidth="1"/>
    <col min="14" max="14" width="5.6640625" style="1" customWidth="1"/>
    <col min="15" max="15" width="0.88671875" style="1" customWidth="1"/>
    <col min="16" max="16" width="5.6640625" style="1" customWidth="1"/>
    <col min="17" max="17" width="0.88671875" style="1" customWidth="1"/>
    <col min="18" max="18" width="5.6640625" style="1" customWidth="1"/>
    <col min="19" max="19" width="0.88671875" style="1" customWidth="1"/>
    <col min="20" max="20" width="5.6640625" style="1" customWidth="1"/>
    <col min="21" max="21" width="0.88671875" style="1" customWidth="1"/>
    <col min="22" max="22" width="5.6640625" style="1" customWidth="1"/>
    <col min="23" max="23" width="0.88671875" style="1" customWidth="1"/>
    <col min="24" max="24" width="5.6640625" style="1" customWidth="1"/>
    <col min="25" max="25" width="0.88671875" style="1" customWidth="1"/>
    <col min="26" max="26" width="5.6640625" style="1" customWidth="1"/>
    <col min="27" max="27" width="0.88671875" style="1" customWidth="1"/>
    <col min="28" max="28" width="5.6640625" style="1" customWidth="1"/>
    <col min="29" max="29" width="0.88671875" customWidth="1"/>
    <col min="30" max="30" width="5.6640625" customWidth="1"/>
    <col min="31" max="31" width="0.88671875" customWidth="1"/>
    <col min="32" max="32" width="5.6640625" customWidth="1"/>
    <col min="33" max="33" width="0.88671875" customWidth="1"/>
    <col min="34" max="34" width="5.6640625" customWidth="1"/>
    <col min="35" max="35" width="0.88671875" customWidth="1"/>
    <col min="36" max="36" width="5.6640625" hidden="1" customWidth="1"/>
    <col min="37" max="37" width="0.88671875" customWidth="1"/>
  </cols>
  <sheetData>
    <row r="1" spans="1:37" ht="9" customHeight="1" x14ac:dyDescent="0.3">
      <c r="E1" s="2"/>
      <c r="F1" s="117" t="s">
        <v>2</v>
      </c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2"/>
    </row>
    <row r="2" spans="1:37" ht="157.5" customHeight="1" x14ac:dyDescent="0.3">
      <c r="D2" s="5" t="str">
        <f>IF('Datos Generales'!D8&lt;&gt;"", 'Datos Generales'!D8, "Grado No Asignado")</f>
        <v>Quinto Bachillerato</v>
      </c>
      <c r="E2" s="2"/>
      <c r="F2" s="112" t="str">
        <f>IF('Datos Generales'!C21&lt;&gt;"", 'Datos Generales'!C21, "")</f>
        <v>Lectura</v>
      </c>
      <c r="G2" s="6"/>
      <c r="H2" s="112" t="str">
        <f>IF('Datos Generales'!C22&lt;&gt;"", 'Datos Generales'!C22, "")</f>
        <v>Redacción</v>
      </c>
      <c r="I2" s="6"/>
      <c r="J2" s="112" t="str">
        <f>IF('Datos Generales'!C23&lt;&gt;"", 'Datos Generales'!C23, "")</f>
        <v>Idioma Extranjero Inglés</v>
      </c>
      <c r="K2" s="6"/>
      <c r="L2" s="112" t="str">
        <f>IF('Datos Generales'!C24&lt;&gt;"", 'Datos Generales'!C24, "")</f>
        <v>Tecnología de Información y Comunicación</v>
      </c>
      <c r="M2" s="6"/>
      <c r="N2" s="112" t="str">
        <f>IF('Datos Generales'!C25&lt;&gt;"", 'Datos Generales'!C25, "")</f>
        <v>Matemática</v>
      </c>
      <c r="O2" s="6"/>
      <c r="P2" s="112" t="str">
        <f>IF('Datos Generales'!C26&lt;&gt;"", 'Datos Generales'!C26, "")</f>
        <v>Estadística</v>
      </c>
      <c r="Q2" s="6"/>
      <c r="R2" s="112" t="str">
        <f>IF('Datos Generales'!C27&lt;&gt;"", 'Datos Generales'!C27, "")</f>
        <v>Química</v>
      </c>
      <c r="S2" s="6"/>
      <c r="T2" s="112" t="str">
        <f>IF('Datos Generales'!C28&lt;&gt;"", 'Datos Generales'!C28, "")</f>
        <v>Biología</v>
      </c>
      <c r="U2" s="6"/>
      <c r="V2" s="112" t="str">
        <f>IF('Datos Generales'!C29&lt;&gt;"", 'Datos Generales'!C29, "")</f>
        <v>Seminario</v>
      </c>
      <c r="W2" s="6"/>
      <c r="X2" s="112" t="str">
        <f>IF('Datos Generales'!C30&lt;&gt;"", 'Datos Generales'!C30, "")</f>
        <v>Administración de Empresas</v>
      </c>
      <c r="Y2" s="6"/>
      <c r="Z2" s="112" t="str">
        <f>IF('Datos Generales'!C31&lt;&gt;"", 'Datos Generales'!C31, "")</f>
        <v>Educación Física</v>
      </c>
      <c r="AA2" s="2"/>
      <c r="AB2" s="112" t="str">
        <f>IF('Datos Generales'!C32&lt;&gt;"",'Datos Generales'!C32, "")</f>
        <v/>
      </c>
      <c r="AC2" s="6"/>
      <c r="AD2" s="112" t="str">
        <f>IF('Datos Generales'!C33&lt;&gt;"",'Datos Generales'!C33, "")</f>
        <v/>
      </c>
      <c r="AE2" s="6"/>
      <c r="AF2" s="112" t="str">
        <f>IF('Datos Generales'!C34&lt;&gt;"", 'Datos Generales'!C34, "")</f>
        <v/>
      </c>
      <c r="AG2" s="6"/>
      <c r="AH2" s="112" t="str">
        <f>IF('Datos Generales'!C35&lt;&gt;"", 'Datos Generales'!C35, "")</f>
        <v/>
      </c>
      <c r="AI2" s="2"/>
      <c r="AJ2" s="112">
        <f>'Datos Generales'!C36</f>
        <v>0</v>
      </c>
      <c r="AK2" s="2"/>
    </row>
    <row r="3" spans="1:37" ht="7.5" customHeight="1" x14ac:dyDescent="0.3">
      <c r="A3" s="2"/>
      <c r="B3" s="2"/>
      <c r="C3" s="2"/>
      <c r="D3" s="2"/>
      <c r="E3" s="2"/>
      <c r="F3" s="113"/>
      <c r="G3" s="2"/>
      <c r="H3" s="113"/>
      <c r="I3" s="2"/>
      <c r="J3" s="113"/>
      <c r="K3" s="2"/>
      <c r="L3" s="113"/>
      <c r="M3" s="2"/>
      <c r="N3" s="113"/>
      <c r="O3" s="2"/>
      <c r="P3" s="113"/>
      <c r="Q3" s="2"/>
      <c r="R3" s="113"/>
      <c r="S3" s="2"/>
      <c r="T3" s="113"/>
      <c r="U3" s="2"/>
      <c r="V3" s="113"/>
      <c r="W3" s="2"/>
      <c r="X3" s="113"/>
      <c r="Y3" s="2"/>
      <c r="Z3" s="113"/>
      <c r="AA3" s="2"/>
      <c r="AB3" s="113"/>
      <c r="AC3" s="6"/>
      <c r="AD3" s="113"/>
      <c r="AE3" s="2"/>
      <c r="AF3" s="113"/>
      <c r="AG3" s="2"/>
      <c r="AH3" s="113"/>
      <c r="AI3" s="2"/>
      <c r="AJ3" s="113"/>
      <c r="AK3" s="2"/>
    </row>
    <row r="4" spans="1:37" ht="15" thickBot="1" x14ac:dyDescent="0.35">
      <c r="A4" s="2"/>
      <c r="B4" s="3" t="s">
        <v>0</v>
      </c>
      <c r="C4" s="2"/>
      <c r="D4" s="3" t="s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6"/>
      <c r="AD4" s="2"/>
      <c r="AE4" s="2"/>
      <c r="AF4" s="2"/>
      <c r="AG4" s="2"/>
      <c r="AH4" s="2"/>
      <c r="AI4" s="2"/>
      <c r="AJ4" s="2"/>
      <c r="AK4" s="2"/>
    </row>
    <row r="5" spans="1:37" ht="15" thickBot="1" x14ac:dyDescent="0.35">
      <c r="A5" s="2"/>
      <c r="B5" s="4">
        <v>1</v>
      </c>
      <c r="C5" s="2"/>
      <c r="D5" s="7" t="str">
        <f>IF('Datos Generales'!C44&lt;&gt;"", 'Datos Generales'!C44, "")</f>
        <v>Avilés Palacios, Christopher Alexandro</v>
      </c>
      <c r="E5" s="2"/>
      <c r="F5" s="92">
        <v>90</v>
      </c>
      <c r="G5" s="36"/>
      <c r="H5" s="92">
        <v>90</v>
      </c>
      <c r="I5" s="36"/>
      <c r="J5" s="84">
        <v>74</v>
      </c>
      <c r="K5" s="36"/>
      <c r="L5" s="51">
        <v>60</v>
      </c>
      <c r="M5" s="36"/>
      <c r="N5" s="51">
        <v>78</v>
      </c>
      <c r="O5" s="36"/>
      <c r="P5" s="51">
        <v>72</v>
      </c>
      <c r="Q5" s="36"/>
      <c r="R5" s="59">
        <v>80</v>
      </c>
      <c r="S5" s="36"/>
      <c r="T5" s="55">
        <v>70</v>
      </c>
      <c r="U5" s="36"/>
      <c r="V5" s="34">
        <v>65</v>
      </c>
      <c r="W5" s="36"/>
      <c r="X5" s="61">
        <v>73</v>
      </c>
      <c r="Y5" s="36"/>
      <c r="Z5" s="62">
        <v>90</v>
      </c>
      <c r="AA5" s="36"/>
      <c r="AB5" s="31"/>
      <c r="AC5" s="37"/>
      <c r="AD5" s="38"/>
      <c r="AE5" s="36"/>
      <c r="AF5" s="34"/>
      <c r="AG5" s="36"/>
      <c r="AH5" s="31"/>
      <c r="AI5" s="36"/>
      <c r="AJ5" s="31"/>
      <c r="AK5" s="2"/>
    </row>
    <row r="6" spans="1:37" ht="15" thickBot="1" x14ac:dyDescent="0.35">
      <c r="A6" s="2"/>
      <c r="B6" s="4">
        <v>2</v>
      </c>
      <c r="C6" s="2"/>
      <c r="D6" s="7" t="str">
        <f>IF('Datos Generales'!C45&lt;&gt;"", 'Datos Generales'!C45, "")</f>
        <v>Estrada Kajihara, Yaretzi Hatsue</v>
      </c>
      <c r="E6" s="2"/>
      <c r="F6" s="53">
        <v>96</v>
      </c>
      <c r="G6" s="36"/>
      <c r="H6" s="53">
        <v>96</v>
      </c>
      <c r="I6" s="36"/>
      <c r="J6" s="84">
        <v>100</v>
      </c>
      <c r="K6" s="36"/>
      <c r="L6" s="51">
        <v>74</v>
      </c>
      <c r="M6" s="36"/>
      <c r="N6" s="51">
        <v>96</v>
      </c>
      <c r="O6" s="36"/>
      <c r="P6" s="51">
        <v>60</v>
      </c>
      <c r="Q6" s="36"/>
      <c r="R6" s="59">
        <v>98</v>
      </c>
      <c r="S6" s="36"/>
      <c r="T6" s="55">
        <v>100</v>
      </c>
      <c r="U6" s="36"/>
      <c r="V6" s="39">
        <v>95</v>
      </c>
      <c r="W6" s="36"/>
      <c r="X6" s="61">
        <v>98</v>
      </c>
      <c r="Y6" s="36"/>
      <c r="Z6" s="62">
        <v>85</v>
      </c>
      <c r="AA6" s="36"/>
      <c r="AB6" s="33"/>
      <c r="AC6" s="37"/>
      <c r="AD6" s="39"/>
      <c r="AE6" s="36"/>
      <c r="AF6" s="32"/>
      <c r="AG6" s="36"/>
      <c r="AH6" s="33"/>
      <c r="AI6" s="36"/>
      <c r="AJ6" s="33"/>
      <c r="AK6" s="2"/>
    </row>
    <row r="7" spans="1:37" ht="15" thickBot="1" x14ac:dyDescent="0.35">
      <c r="A7" s="2"/>
      <c r="B7" s="4">
        <v>3</v>
      </c>
      <c r="C7" s="2"/>
      <c r="D7" s="7" t="str">
        <f>IF('Datos Generales'!C46&lt;&gt;"", 'Datos Generales'!C46, "")</f>
        <v>González Contreras, Joseph Ezequías</v>
      </c>
      <c r="E7" s="2"/>
      <c r="F7" s="92">
        <v>91</v>
      </c>
      <c r="G7" s="36"/>
      <c r="H7" s="92">
        <v>91</v>
      </c>
      <c r="I7" s="36"/>
      <c r="J7" s="84">
        <v>78</v>
      </c>
      <c r="K7" s="36"/>
      <c r="L7" s="51">
        <v>76</v>
      </c>
      <c r="M7" s="36"/>
      <c r="N7" s="51">
        <v>66</v>
      </c>
      <c r="O7" s="36"/>
      <c r="P7" s="51">
        <v>60</v>
      </c>
      <c r="Q7" s="36"/>
      <c r="R7" s="59">
        <v>98</v>
      </c>
      <c r="S7" s="36"/>
      <c r="T7" s="55">
        <v>98</v>
      </c>
      <c r="U7" s="36"/>
      <c r="V7" s="39">
        <v>90</v>
      </c>
      <c r="W7" s="36"/>
      <c r="X7" s="61">
        <v>96</v>
      </c>
      <c r="Y7" s="36"/>
      <c r="Z7" s="62">
        <v>80</v>
      </c>
      <c r="AA7" s="36"/>
      <c r="AB7" s="33"/>
      <c r="AC7" s="37"/>
      <c r="AD7" s="39"/>
      <c r="AE7" s="36"/>
      <c r="AF7" s="32"/>
      <c r="AG7" s="36"/>
      <c r="AH7" s="33"/>
      <c r="AI7" s="36"/>
      <c r="AJ7" s="33"/>
      <c r="AK7" s="2"/>
    </row>
    <row r="8" spans="1:37" ht="15" thickBot="1" x14ac:dyDescent="0.35">
      <c r="A8" s="2"/>
      <c r="B8" s="4">
        <v>4</v>
      </c>
      <c r="C8" s="2"/>
      <c r="D8" s="7" t="str">
        <f>IF('Datos Generales'!C47&lt;&gt;"", 'Datos Generales'!C47, "")</f>
        <v>Lee Toribio, Jhefferson Harin</v>
      </c>
      <c r="E8" s="2"/>
      <c r="F8" s="53">
        <v>91</v>
      </c>
      <c r="G8" s="36"/>
      <c r="H8" s="53">
        <v>91</v>
      </c>
      <c r="I8" s="36"/>
      <c r="J8" s="84">
        <v>74</v>
      </c>
      <c r="K8" s="36"/>
      <c r="L8" s="51">
        <v>97</v>
      </c>
      <c r="M8" s="36"/>
      <c r="N8" s="51">
        <v>100</v>
      </c>
      <c r="O8" s="36"/>
      <c r="P8" s="51">
        <v>100</v>
      </c>
      <c r="Q8" s="36"/>
      <c r="R8" s="59">
        <v>95</v>
      </c>
      <c r="S8" s="36"/>
      <c r="T8" s="55">
        <v>96</v>
      </c>
      <c r="U8" s="36"/>
      <c r="V8" s="39">
        <v>85</v>
      </c>
      <c r="W8" s="36"/>
      <c r="X8" s="61">
        <v>91</v>
      </c>
      <c r="Y8" s="36"/>
      <c r="Z8" s="62">
        <v>90</v>
      </c>
      <c r="AA8" s="36"/>
      <c r="AB8" s="33"/>
      <c r="AC8" s="37"/>
      <c r="AD8" s="39"/>
      <c r="AE8" s="36"/>
      <c r="AF8" s="32"/>
      <c r="AG8" s="36"/>
      <c r="AH8" s="33"/>
      <c r="AI8" s="36"/>
      <c r="AJ8" s="33"/>
      <c r="AK8" s="2"/>
    </row>
    <row r="9" spans="1:37" ht="15" thickBot="1" x14ac:dyDescent="0.35">
      <c r="A9" s="2"/>
      <c r="B9" s="4">
        <v>5</v>
      </c>
      <c r="C9" s="2"/>
      <c r="D9" s="7" t="str">
        <f>IF('Datos Generales'!C48&lt;&gt;"", 'Datos Generales'!C48, "")</f>
        <v>Lobos Cedillo, Luis Alejandro</v>
      </c>
      <c r="E9" s="2"/>
      <c r="F9" s="92">
        <v>86</v>
      </c>
      <c r="G9" s="36"/>
      <c r="H9" s="92">
        <v>86</v>
      </c>
      <c r="I9" s="36"/>
      <c r="J9" s="85">
        <v>77</v>
      </c>
      <c r="K9" s="36"/>
      <c r="L9" s="52">
        <v>51</v>
      </c>
      <c r="M9" s="36"/>
      <c r="N9" s="52">
        <v>93</v>
      </c>
      <c r="O9" s="36"/>
      <c r="P9" s="52">
        <v>68</v>
      </c>
      <c r="Q9" s="36"/>
      <c r="R9" s="59">
        <v>70</v>
      </c>
      <c r="S9" s="36"/>
      <c r="T9" s="55">
        <v>57</v>
      </c>
      <c r="U9" s="36"/>
      <c r="V9" s="39">
        <v>70</v>
      </c>
      <c r="W9" s="36"/>
      <c r="X9" s="61">
        <v>77</v>
      </c>
      <c r="Y9" s="36"/>
      <c r="Z9" s="62">
        <v>80</v>
      </c>
      <c r="AA9" s="36"/>
      <c r="AB9" s="33"/>
      <c r="AC9" s="37"/>
      <c r="AD9" s="39"/>
      <c r="AE9" s="36"/>
      <c r="AF9" s="32"/>
      <c r="AG9" s="36"/>
      <c r="AH9" s="33"/>
      <c r="AI9" s="36"/>
      <c r="AJ9" s="33"/>
      <c r="AK9" s="2"/>
    </row>
    <row r="10" spans="1:37" ht="15" thickBot="1" x14ac:dyDescent="0.35">
      <c r="A10" s="2"/>
      <c r="B10" s="4">
        <v>6</v>
      </c>
      <c r="C10" s="2"/>
      <c r="D10" s="7" t="str">
        <f>IF('Datos Generales'!C49&lt;&gt;"", 'Datos Generales'!C49, "")</f>
        <v>López Martínez, Dafne Jasare</v>
      </c>
      <c r="E10" s="2"/>
      <c r="F10" s="92">
        <v>0</v>
      </c>
      <c r="G10" s="36"/>
      <c r="H10" s="92">
        <v>0</v>
      </c>
      <c r="I10" s="36"/>
      <c r="J10" s="85">
        <v>100</v>
      </c>
      <c r="K10" s="36"/>
      <c r="L10" s="52">
        <v>73</v>
      </c>
      <c r="M10" s="36"/>
      <c r="N10" s="52">
        <v>85</v>
      </c>
      <c r="O10" s="36"/>
      <c r="P10" s="52">
        <v>0</v>
      </c>
      <c r="Q10" s="36"/>
      <c r="R10" s="59">
        <v>0</v>
      </c>
      <c r="S10" s="36"/>
      <c r="T10" s="55">
        <v>88</v>
      </c>
      <c r="U10" s="36"/>
      <c r="V10" s="39">
        <v>70</v>
      </c>
      <c r="W10" s="36"/>
      <c r="X10" s="61">
        <v>0</v>
      </c>
      <c r="Y10" s="36"/>
      <c r="Z10" s="62">
        <v>80</v>
      </c>
      <c r="AA10" s="36"/>
      <c r="AB10" s="33"/>
      <c r="AC10" s="37"/>
      <c r="AD10" s="39"/>
      <c r="AE10" s="36"/>
      <c r="AF10" s="32"/>
      <c r="AG10" s="36"/>
      <c r="AH10" s="33"/>
      <c r="AI10" s="36"/>
      <c r="AJ10" s="33"/>
      <c r="AK10" s="2"/>
    </row>
    <row r="11" spans="1:37" ht="15" thickBot="1" x14ac:dyDescent="0.35">
      <c r="A11" s="2"/>
      <c r="B11" s="4">
        <v>7</v>
      </c>
      <c r="C11" s="2"/>
      <c r="D11" s="7" t="str">
        <f>IF('Datos Generales'!C50&lt;&gt;"", 'Datos Generales'!C50, "")</f>
        <v>Lopez Mazate, Angel Mauricio</v>
      </c>
      <c r="E11" s="2"/>
      <c r="F11" s="53">
        <v>0</v>
      </c>
      <c r="G11" s="36"/>
      <c r="H11" s="53">
        <v>0</v>
      </c>
      <c r="I11" s="36"/>
      <c r="J11" s="85">
        <v>46</v>
      </c>
      <c r="K11" s="36"/>
      <c r="L11" s="51">
        <v>83</v>
      </c>
      <c r="M11" s="36"/>
      <c r="N11" s="52">
        <v>64</v>
      </c>
      <c r="O11" s="36"/>
      <c r="P11" s="51">
        <v>0</v>
      </c>
      <c r="Q11" s="36"/>
      <c r="R11" s="59">
        <v>0</v>
      </c>
      <c r="S11" s="36"/>
      <c r="T11" s="90">
        <v>90</v>
      </c>
      <c r="U11" s="36"/>
      <c r="V11" s="39">
        <v>65</v>
      </c>
      <c r="W11" s="36"/>
      <c r="X11" s="61">
        <v>0</v>
      </c>
      <c r="Y11" s="36"/>
      <c r="Z11" s="62"/>
      <c r="AA11" s="36"/>
      <c r="AB11" s="33"/>
      <c r="AC11" s="37"/>
      <c r="AD11" s="39"/>
      <c r="AE11" s="36"/>
      <c r="AF11" s="32"/>
      <c r="AG11" s="36"/>
      <c r="AH11" s="33"/>
      <c r="AI11" s="36"/>
      <c r="AJ11" s="33"/>
      <c r="AK11" s="2"/>
    </row>
    <row r="12" spans="1:37" ht="15" thickBot="1" x14ac:dyDescent="0.35">
      <c r="A12" s="2"/>
      <c r="B12" s="4">
        <v>8</v>
      </c>
      <c r="C12" s="2"/>
      <c r="D12" s="7" t="str">
        <f>IF('Datos Generales'!C51&lt;&gt;"", 'Datos Generales'!C51, "")</f>
        <v>López Yol, Diego Josué</v>
      </c>
      <c r="E12" s="2"/>
      <c r="F12" s="53">
        <v>91</v>
      </c>
      <c r="G12" s="36"/>
      <c r="H12" s="53">
        <v>91</v>
      </c>
      <c r="I12" s="36"/>
      <c r="J12" s="85">
        <v>81</v>
      </c>
      <c r="K12" s="36"/>
      <c r="L12" s="51">
        <v>77</v>
      </c>
      <c r="M12" s="36"/>
      <c r="N12" s="52">
        <v>72</v>
      </c>
      <c r="O12" s="36"/>
      <c r="P12" s="51">
        <v>64</v>
      </c>
      <c r="Q12" s="36"/>
      <c r="R12" s="59">
        <v>78</v>
      </c>
      <c r="S12" s="36"/>
      <c r="T12" s="55">
        <v>96</v>
      </c>
      <c r="U12" s="36"/>
      <c r="V12" s="39">
        <v>70</v>
      </c>
      <c r="W12" s="36"/>
      <c r="X12" s="61">
        <v>60</v>
      </c>
      <c r="Y12" s="36"/>
      <c r="Z12" s="62">
        <v>90</v>
      </c>
      <c r="AA12" s="36"/>
      <c r="AB12" s="33"/>
      <c r="AC12" s="37"/>
      <c r="AD12" s="39"/>
      <c r="AE12" s="36"/>
      <c r="AF12" s="32"/>
      <c r="AG12" s="36"/>
      <c r="AH12" s="33"/>
      <c r="AI12" s="36"/>
      <c r="AJ12" s="33"/>
      <c r="AK12" s="2"/>
    </row>
    <row r="13" spans="1:37" ht="15" thickBot="1" x14ac:dyDescent="0.35">
      <c r="A13" s="2"/>
      <c r="B13" s="4">
        <v>9</v>
      </c>
      <c r="C13" s="2"/>
      <c r="D13" s="7" t="str">
        <f>IF('Datos Generales'!C52&lt;&gt;"", 'Datos Generales'!C52, "")</f>
        <v>Luca Simaj, Maria Fernanda</v>
      </c>
      <c r="E13" s="2"/>
      <c r="F13" s="92">
        <v>87</v>
      </c>
      <c r="G13" s="36"/>
      <c r="H13" s="92">
        <v>87</v>
      </c>
      <c r="I13" s="36"/>
      <c r="J13" s="85">
        <v>75</v>
      </c>
      <c r="K13" s="36"/>
      <c r="L13" s="51">
        <v>77</v>
      </c>
      <c r="M13" s="36"/>
      <c r="N13" s="52">
        <v>91</v>
      </c>
      <c r="O13" s="36"/>
      <c r="P13" s="51">
        <v>84</v>
      </c>
      <c r="Q13" s="36"/>
      <c r="R13" s="59">
        <v>85</v>
      </c>
      <c r="S13" s="36"/>
      <c r="T13" s="55">
        <v>92</v>
      </c>
      <c r="U13" s="36"/>
      <c r="V13" s="39">
        <v>70</v>
      </c>
      <c r="W13" s="36"/>
      <c r="X13" s="61">
        <v>97</v>
      </c>
      <c r="Y13" s="36"/>
      <c r="Z13" s="62">
        <v>70</v>
      </c>
      <c r="AA13" s="36"/>
      <c r="AB13" s="33"/>
      <c r="AC13" s="37"/>
      <c r="AD13" s="39"/>
      <c r="AE13" s="36"/>
      <c r="AF13" s="32"/>
      <c r="AG13" s="36"/>
      <c r="AH13" s="33"/>
      <c r="AI13" s="36"/>
      <c r="AJ13" s="33"/>
      <c r="AK13" s="2"/>
    </row>
    <row r="14" spans="1:37" ht="15" thickBot="1" x14ac:dyDescent="0.35">
      <c r="A14" s="2"/>
      <c r="B14" s="4">
        <v>10</v>
      </c>
      <c r="C14" s="2"/>
      <c r="D14" s="7" t="str">
        <f>IF('Datos Generales'!C53&lt;&gt;"", 'Datos Generales'!C53, "")</f>
        <v>Marroquín Carcúz, Deyuli Mayerli</v>
      </c>
      <c r="E14" s="2"/>
      <c r="F14" s="53">
        <v>0</v>
      </c>
      <c r="G14" s="36"/>
      <c r="H14" s="53">
        <v>0</v>
      </c>
      <c r="I14" s="36"/>
      <c r="J14" s="86">
        <v>77</v>
      </c>
      <c r="K14" s="36"/>
      <c r="L14" s="51">
        <v>100</v>
      </c>
      <c r="M14" s="36"/>
      <c r="N14" s="52">
        <v>88</v>
      </c>
      <c r="O14" s="36"/>
      <c r="P14" s="51"/>
      <c r="Q14" s="36"/>
      <c r="R14" s="59">
        <v>0</v>
      </c>
      <c r="S14" s="36"/>
      <c r="T14" s="55">
        <v>100</v>
      </c>
      <c r="U14" s="36"/>
      <c r="V14" s="39">
        <v>95</v>
      </c>
      <c r="W14" s="36"/>
      <c r="X14" s="61">
        <v>0</v>
      </c>
      <c r="Y14" s="36"/>
      <c r="Z14" s="62"/>
      <c r="AA14" s="36"/>
      <c r="AB14" s="33"/>
      <c r="AC14" s="37"/>
      <c r="AD14" s="39"/>
      <c r="AE14" s="36"/>
      <c r="AF14" s="32"/>
      <c r="AG14" s="36"/>
      <c r="AH14" s="33"/>
      <c r="AI14" s="36"/>
      <c r="AJ14" s="33"/>
      <c r="AK14" s="2"/>
    </row>
    <row r="15" spans="1:37" ht="15" thickBot="1" x14ac:dyDescent="0.35">
      <c r="A15" s="2"/>
      <c r="B15" s="4">
        <v>11</v>
      </c>
      <c r="C15" s="2"/>
      <c r="D15" s="7" t="str">
        <f>IF('Datos Generales'!C54&lt;&gt;"", 'Datos Generales'!C54, "")</f>
        <v>Marroquín Larios, Yasmín Monserrat</v>
      </c>
      <c r="E15" s="2"/>
      <c r="F15" s="92">
        <v>82</v>
      </c>
      <c r="G15" s="36"/>
      <c r="H15" s="92">
        <v>82</v>
      </c>
      <c r="I15" s="36"/>
      <c r="J15" s="84">
        <v>71</v>
      </c>
      <c r="K15" s="36"/>
      <c r="L15" s="51">
        <v>70</v>
      </c>
      <c r="M15" s="36"/>
      <c r="N15" s="52">
        <v>61</v>
      </c>
      <c r="O15" s="36"/>
      <c r="P15" s="51">
        <v>48</v>
      </c>
      <c r="Q15" s="36"/>
      <c r="R15" s="59">
        <v>100</v>
      </c>
      <c r="S15" s="36"/>
      <c r="T15" s="55">
        <v>100</v>
      </c>
      <c r="U15" s="36"/>
      <c r="V15" s="39">
        <v>85</v>
      </c>
      <c r="W15" s="36"/>
      <c r="X15" s="61">
        <v>90</v>
      </c>
      <c r="Y15" s="36"/>
      <c r="Z15" s="62">
        <v>85</v>
      </c>
      <c r="AA15" s="36"/>
      <c r="AB15" s="33"/>
      <c r="AC15" s="37"/>
      <c r="AD15" s="39"/>
      <c r="AE15" s="36"/>
      <c r="AF15" s="32"/>
      <c r="AG15" s="36"/>
      <c r="AH15" s="33"/>
      <c r="AI15" s="36"/>
      <c r="AJ15" s="33"/>
      <c r="AK15" s="2"/>
    </row>
    <row r="16" spans="1:37" ht="15" thickBot="1" x14ac:dyDescent="0.35">
      <c r="A16" s="2"/>
      <c r="B16" s="4">
        <v>12</v>
      </c>
      <c r="C16" s="2"/>
      <c r="D16" s="7" t="str">
        <f>IF('Datos Generales'!C55&lt;&gt;"", 'Datos Generales'!C55, "")</f>
        <v>Marroquín Ramírez, Nilton Alexis</v>
      </c>
      <c r="E16" s="2"/>
      <c r="F16" s="53">
        <v>91</v>
      </c>
      <c r="G16" s="36"/>
      <c r="H16" s="53">
        <v>91</v>
      </c>
      <c r="I16" s="36"/>
      <c r="J16" s="84">
        <v>72</v>
      </c>
      <c r="K16" s="36"/>
      <c r="L16" s="51">
        <v>56</v>
      </c>
      <c r="M16" s="36"/>
      <c r="N16" s="52">
        <v>89</v>
      </c>
      <c r="O16" s="36"/>
      <c r="P16" s="51">
        <v>78</v>
      </c>
      <c r="Q16" s="36"/>
      <c r="R16" s="59">
        <v>85</v>
      </c>
      <c r="S16" s="36"/>
      <c r="T16" s="55">
        <v>73</v>
      </c>
      <c r="U16" s="36"/>
      <c r="V16" s="39">
        <v>65</v>
      </c>
      <c r="W16" s="36"/>
      <c r="X16" s="61">
        <v>98</v>
      </c>
      <c r="Y16" s="36"/>
      <c r="Z16" s="62">
        <v>80</v>
      </c>
      <c r="AA16" s="36"/>
      <c r="AB16" s="33"/>
      <c r="AC16" s="37"/>
      <c r="AD16" s="39"/>
      <c r="AE16" s="36"/>
      <c r="AF16" s="32"/>
      <c r="AG16" s="36"/>
      <c r="AH16" s="33"/>
      <c r="AI16" s="36"/>
      <c r="AJ16" s="33"/>
      <c r="AK16" s="2"/>
    </row>
    <row r="17" spans="1:37" ht="15" thickBot="1" x14ac:dyDescent="0.35">
      <c r="A17" s="2"/>
      <c r="B17" s="4">
        <v>13</v>
      </c>
      <c r="C17" s="2"/>
      <c r="D17" s="7" t="str">
        <f>IF('Datos Generales'!C56&lt;&gt;"", 'Datos Generales'!C56, "")</f>
        <v>Martínez Cuyún, María Inés</v>
      </c>
      <c r="E17" s="2"/>
      <c r="F17" s="92">
        <v>91</v>
      </c>
      <c r="G17" s="36"/>
      <c r="H17" s="92">
        <v>91</v>
      </c>
      <c r="I17" s="36"/>
      <c r="J17" s="84">
        <v>77</v>
      </c>
      <c r="K17" s="36"/>
      <c r="L17" s="51">
        <v>55</v>
      </c>
      <c r="M17" s="36"/>
      <c r="N17" s="52">
        <v>62</v>
      </c>
      <c r="O17" s="36"/>
      <c r="P17" s="51">
        <v>76</v>
      </c>
      <c r="Q17" s="36"/>
      <c r="R17" s="59">
        <v>88</v>
      </c>
      <c r="S17" s="36"/>
      <c r="T17" s="55">
        <v>96</v>
      </c>
      <c r="U17" s="36"/>
      <c r="V17" s="39">
        <v>85</v>
      </c>
      <c r="W17" s="36"/>
      <c r="X17" s="61">
        <v>90</v>
      </c>
      <c r="Y17" s="36"/>
      <c r="Z17" s="62">
        <v>70</v>
      </c>
      <c r="AA17" s="36"/>
      <c r="AB17" s="33"/>
      <c r="AC17" s="37"/>
      <c r="AD17" s="39"/>
      <c r="AE17" s="36"/>
      <c r="AF17" s="32"/>
      <c r="AG17" s="36"/>
      <c r="AH17" s="33"/>
      <c r="AI17" s="36"/>
      <c r="AJ17" s="33"/>
      <c r="AK17" s="2"/>
    </row>
    <row r="18" spans="1:37" ht="15" thickBot="1" x14ac:dyDescent="0.35">
      <c r="A18" s="2"/>
      <c r="B18" s="4">
        <v>14</v>
      </c>
      <c r="C18" s="2"/>
      <c r="D18" s="7" t="str">
        <f>IF('Datos Generales'!C57&lt;&gt;"", 'Datos Generales'!C57, "")</f>
        <v>Mendoza Romero, José Fernando</v>
      </c>
      <c r="E18" s="2"/>
      <c r="F18" s="53">
        <v>78</v>
      </c>
      <c r="G18" s="36"/>
      <c r="H18" s="53">
        <v>78</v>
      </c>
      <c r="I18" s="36"/>
      <c r="J18" s="84">
        <v>72</v>
      </c>
      <c r="K18" s="36"/>
      <c r="L18" s="51">
        <v>85</v>
      </c>
      <c r="M18" s="36"/>
      <c r="N18" s="52">
        <v>87</v>
      </c>
      <c r="O18" s="36"/>
      <c r="P18" s="51">
        <v>42</v>
      </c>
      <c r="Q18" s="36"/>
      <c r="R18" s="59">
        <v>78</v>
      </c>
      <c r="S18" s="36"/>
      <c r="T18" s="55">
        <v>87</v>
      </c>
      <c r="U18" s="36"/>
      <c r="V18" s="39">
        <v>70</v>
      </c>
      <c r="W18" s="36"/>
      <c r="X18" s="61">
        <v>72</v>
      </c>
      <c r="Y18" s="36"/>
      <c r="Z18" s="62">
        <v>80</v>
      </c>
      <c r="AA18" s="36"/>
      <c r="AB18" s="33"/>
      <c r="AC18" s="37"/>
      <c r="AD18" s="39"/>
      <c r="AE18" s="36"/>
      <c r="AF18" s="32"/>
      <c r="AG18" s="36"/>
      <c r="AH18" s="33"/>
      <c r="AI18" s="36"/>
      <c r="AJ18" s="33"/>
      <c r="AK18" s="2"/>
    </row>
    <row r="19" spans="1:37" ht="15" thickBot="1" x14ac:dyDescent="0.35">
      <c r="A19" s="2"/>
      <c r="B19" s="4">
        <v>15</v>
      </c>
      <c r="C19" s="2"/>
      <c r="D19" s="7" t="str">
        <f>IF('Datos Generales'!C58&lt;&gt;"", 'Datos Generales'!C58, "")</f>
        <v>Moctezuma Orenos, Kimberly Gabriela</v>
      </c>
      <c r="E19" s="2"/>
      <c r="F19" s="92">
        <v>0</v>
      </c>
      <c r="G19" s="36"/>
      <c r="H19" s="92">
        <v>0</v>
      </c>
      <c r="I19" s="36"/>
      <c r="J19" s="86">
        <v>72</v>
      </c>
      <c r="K19" s="36"/>
      <c r="L19" s="51">
        <v>48</v>
      </c>
      <c r="M19" s="36"/>
      <c r="N19" s="51">
        <v>68</v>
      </c>
      <c r="O19" s="36"/>
      <c r="P19" s="51">
        <v>0</v>
      </c>
      <c r="Q19" s="36"/>
      <c r="R19" s="59">
        <v>0</v>
      </c>
      <c r="S19" s="36"/>
      <c r="T19" s="90">
        <v>0</v>
      </c>
      <c r="U19" s="36"/>
      <c r="V19" s="39">
        <v>85</v>
      </c>
      <c r="W19" s="36"/>
      <c r="X19" s="61">
        <v>0</v>
      </c>
      <c r="Y19" s="36"/>
      <c r="Z19" s="62"/>
      <c r="AA19" s="36"/>
      <c r="AB19" s="33"/>
      <c r="AC19" s="37"/>
      <c r="AD19" s="39"/>
      <c r="AE19" s="36"/>
      <c r="AF19" s="32"/>
      <c r="AG19" s="36"/>
      <c r="AH19" s="33"/>
      <c r="AI19" s="36"/>
      <c r="AJ19" s="33"/>
      <c r="AK19" s="2"/>
    </row>
    <row r="20" spans="1:37" ht="15" thickBot="1" x14ac:dyDescent="0.35">
      <c r="A20" s="2"/>
      <c r="B20" s="4">
        <v>16</v>
      </c>
      <c r="C20" s="2"/>
      <c r="D20" s="7" t="str">
        <f>IF('Datos Generales'!C59&lt;&gt;"", 'Datos Generales'!C59, "")</f>
        <v>Oliva Romero, Jeremy Guillermo Santiago</v>
      </c>
      <c r="E20" s="2"/>
      <c r="F20" s="53">
        <v>98</v>
      </c>
      <c r="G20" s="36"/>
      <c r="H20" s="53">
        <v>98</v>
      </c>
      <c r="I20" s="36"/>
      <c r="J20" s="84">
        <v>81</v>
      </c>
      <c r="K20" s="36"/>
      <c r="L20" s="51">
        <v>94</v>
      </c>
      <c r="M20" s="36"/>
      <c r="N20" s="51">
        <v>95</v>
      </c>
      <c r="O20" s="36"/>
      <c r="P20" s="51">
        <v>70</v>
      </c>
      <c r="Q20" s="36"/>
      <c r="R20" s="59">
        <v>98</v>
      </c>
      <c r="S20" s="36"/>
      <c r="T20" s="55">
        <v>85</v>
      </c>
      <c r="U20" s="36"/>
      <c r="V20" s="39">
        <v>90</v>
      </c>
      <c r="W20" s="36"/>
      <c r="X20" s="61">
        <v>100</v>
      </c>
      <c r="Y20" s="36"/>
      <c r="Z20" s="62">
        <v>100</v>
      </c>
      <c r="AA20" s="36"/>
      <c r="AB20" s="33"/>
      <c r="AC20" s="37"/>
      <c r="AD20" s="39"/>
      <c r="AE20" s="36"/>
      <c r="AF20" s="32"/>
      <c r="AG20" s="36"/>
      <c r="AH20" s="33"/>
      <c r="AI20" s="36"/>
      <c r="AJ20" s="33"/>
      <c r="AK20" s="2"/>
    </row>
    <row r="21" spans="1:37" ht="15" thickBot="1" x14ac:dyDescent="0.35">
      <c r="A21" s="2"/>
      <c r="B21" s="4">
        <v>17</v>
      </c>
      <c r="C21" s="2"/>
      <c r="D21" s="7" t="str">
        <f>IF('Datos Generales'!C60&lt;&gt;"", 'Datos Generales'!C60, "")</f>
        <v>Pérez Días, Britany Xiomara</v>
      </c>
      <c r="E21" s="2"/>
      <c r="F21" s="92">
        <v>95</v>
      </c>
      <c r="G21" s="36"/>
      <c r="H21" s="92">
        <v>95</v>
      </c>
      <c r="I21" s="36"/>
      <c r="J21" s="84">
        <v>100</v>
      </c>
      <c r="K21" s="36"/>
      <c r="L21" s="51">
        <v>81</v>
      </c>
      <c r="M21" s="36"/>
      <c r="N21" s="51">
        <v>80</v>
      </c>
      <c r="O21" s="36"/>
      <c r="P21" s="51">
        <v>76</v>
      </c>
      <c r="Q21" s="36"/>
      <c r="R21" s="59">
        <v>85</v>
      </c>
      <c r="S21" s="36"/>
      <c r="T21" s="55">
        <v>96</v>
      </c>
      <c r="U21" s="36"/>
      <c r="V21" s="39">
        <v>85</v>
      </c>
      <c r="W21" s="36"/>
      <c r="X21" s="61">
        <v>97</v>
      </c>
      <c r="Y21" s="36"/>
      <c r="Z21" s="62">
        <v>80</v>
      </c>
      <c r="AA21" s="36"/>
      <c r="AB21" s="33"/>
      <c r="AC21" s="37"/>
      <c r="AD21" s="39"/>
      <c r="AE21" s="36"/>
      <c r="AF21" s="32"/>
      <c r="AG21" s="36"/>
      <c r="AH21" s="33"/>
      <c r="AI21" s="36"/>
      <c r="AJ21" s="33"/>
      <c r="AK21" s="2"/>
    </row>
    <row r="22" spans="1:37" ht="15" thickBot="1" x14ac:dyDescent="0.35">
      <c r="A22" s="2"/>
      <c r="B22" s="4">
        <v>18</v>
      </c>
      <c r="C22" s="2"/>
      <c r="D22" s="7" t="str">
        <f>IF('Datos Generales'!C61&lt;&gt;"", 'Datos Generales'!C61, "")</f>
        <v>Pérez Quiñonez, Jonatan Ivan</v>
      </c>
      <c r="E22" s="2"/>
      <c r="F22" s="53">
        <v>83</v>
      </c>
      <c r="G22" s="36"/>
      <c r="H22" s="53">
        <v>83</v>
      </c>
      <c r="I22" s="36"/>
      <c r="J22" s="84">
        <v>73</v>
      </c>
      <c r="K22" s="36"/>
      <c r="L22" s="51">
        <v>67</v>
      </c>
      <c r="M22" s="36"/>
      <c r="N22" s="51">
        <v>80</v>
      </c>
      <c r="O22" s="36"/>
      <c r="P22" s="51">
        <v>31</v>
      </c>
      <c r="Q22" s="36"/>
      <c r="R22" s="59">
        <v>90</v>
      </c>
      <c r="S22" s="36"/>
      <c r="T22" s="55">
        <v>65</v>
      </c>
      <c r="U22" s="36"/>
      <c r="V22" s="39">
        <v>70</v>
      </c>
      <c r="W22" s="36"/>
      <c r="X22" s="61">
        <v>96</v>
      </c>
      <c r="Y22" s="36"/>
      <c r="Z22" s="62">
        <v>100</v>
      </c>
      <c r="AA22" s="36"/>
      <c r="AB22" s="33"/>
      <c r="AC22" s="37"/>
      <c r="AD22" s="39"/>
      <c r="AE22" s="36"/>
      <c r="AF22" s="32"/>
      <c r="AG22" s="36"/>
      <c r="AH22" s="33"/>
      <c r="AI22" s="36"/>
      <c r="AJ22" s="33"/>
      <c r="AK22" s="2"/>
    </row>
    <row r="23" spans="1:37" ht="15" thickBot="1" x14ac:dyDescent="0.35">
      <c r="A23" s="2"/>
      <c r="B23" s="4">
        <v>19</v>
      </c>
      <c r="C23" s="2"/>
      <c r="D23" s="7" t="str">
        <f>IF('Datos Generales'!C62&lt;&gt;"", 'Datos Generales'!C62, "")</f>
        <v>Pichillá Castillo, Andrea Paola</v>
      </c>
      <c r="E23" s="2"/>
      <c r="F23" s="92">
        <v>95</v>
      </c>
      <c r="G23" s="36"/>
      <c r="H23" s="92">
        <v>95</v>
      </c>
      <c r="I23" s="36"/>
      <c r="J23" s="84">
        <v>100</v>
      </c>
      <c r="K23" s="36"/>
      <c r="L23" s="51">
        <v>97</v>
      </c>
      <c r="M23" s="36"/>
      <c r="N23" s="51">
        <v>100</v>
      </c>
      <c r="O23" s="36"/>
      <c r="P23" s="51">
        <v>70</v>
      </c>
      <c r="Q23" s="36"/>
      <c r="R23" s="59">
        <v>100</v>
      </c>
      <c r="S23" s="36"/>
      <c r="T23" s="55">
        <v>100</v>
      </c>
      <c r="U23" s="36"/>
      <c r="V23" s="39">
        <v>90</v>
      </c>
      <c r="W23" s="36"/>
      <c r="X23" s="61">
        <v>97</v>
      </c>
      <c r="Y23" s="36"/>
      <c r="Z23" s="62">
        <v>80</v>
      </c>
      <c r="AA23" s="36"/>
      <c r="AB23" s="33"/>
      <c r="AC23" s="37"/>
      <c r="AD23" s="39"/>
      <c r="AE23" s="36"/>
      <c r="AF23" s="32"/>
      <c r="AG23" s="36"/>
      <c r="AH23" s="33"/>
      <c r="AI23" s="36"/>
      <c r="AJ23" s="33"/>
      <c r="AK23" s="2"/>
    </row>
    <row r="24" spans="1:37" ht="15" thickBot="1" x14ac:dyDescent="0.35">
      <c r="A24" s="2"/>
      <c r="B24" s="4">
        <v>20</v>
      </c>
      <c r="C24" s="2"/>
      <c r="D24" s="7" t="str">
        <f>IF('Datos Generales'!C63&lt;&gt;"", 'Datos Generales'!C63, "")</f>
        <v>Quina Melendez, Erika Yustina</v>
      </c>
      <c r="E24" s="2"/>
      <c r="F24" s="53">
        <v>97</v>
      </c>
      <c r="G24" s="36"/>
      <c r="H24" s="53">
        <v>97</v>
      </c>
      <c r="I24" s="36"/>
      <c r="J24" s="84">
        <v>75</v>
      </c>
      <c r="K24" s="36"/>
      <c r="L24" s="51">
        <v>77</v>
      </c>
      <c r="M24" s="36"/>
      <c r="N24" s="51">
        <v>100</v>
      </c>
      <c r="O24" s="36"/>
      <c r="P24" s="51">
        <v>48</v>
      </c>
      <c r="Q24" s="36"/>
      <c r="R24" s="59">
        <v>100</v>
      </c>
      <c r="S24" s="36"/>
      <c r="T24" s="55">
        <v>98</v>
      </c>
      <c r="U24" s="36"/>
      <c r="V24" s="39">
        <v>90</v>
      </c>
      <c r="W24" s="36"/>
      <c r="X24" s="61">
        <v>70</v>
      </c>
      <c r="Y24" s="36"/>
      <c r="Z24" s="62">
        <v>77</v>
      </c>
      <c r="AA24" s="36"/>
      <c r="AB24" s="33"/>
      <c r="AC24" s="37"/>
      <c r="AD24" s="39"/>
      <c r="AE24" s="36"/>
      <c r="AF24" s="32"/>
      <c r="AG24" s="36"/>
      <c r="AH24" s="33"/>
      <c r="AI24" s="36"/>
      <c r="AJ24" s="33"/>
      <c r="AK24" s="2"/>
    </row>
    <row r="25" spans="1:37" ht="15" thickBot="1" x14ac:dyDescent="0.35">
      <c r="A25" s="2"/>
      <c r="B25" s="4">
        <v>21</v>
      </c>
      <c r="C25" s="2"/>
      <c r="D25" s="7" t="str">
        <f>IF('Datos Generales'!C64&lt;&gt;"", 'Datos Generales'!C64, "")</f>
        <v>Quiñonez García, Estefani Mariela</v>
      </c>
      <c r="E25" s="2"/>
      <c r="F25" s="92">
        <v>96</v>
      </c>
      <c r="G25" s="36"/>
      <c r="H25" s="92">
        <v>96</v>
      </c>
      <c r="I25" s="36"/>
      <c r="J25" s="84">
        <v>75</v>
      </c>
      <c r="K25" s="36"/>
      <c r="L25" s="51">
        <v>55</v>
      </c>
      <c r="M25" s="36"/>
      <c r="N25" s="51">
        <v>86</v>
      </c>
      <c r="O25" s="36"/>
      <c r="P25" s="51">
        <v>78</v>
      </c>
      <c r="Q25" s="36"/>
      <c r="R25" s="59">
        <v>80</v>
      </c>
      <c r="S25" s="36"/>
      <c r="T25" s="55">
        <v>98</v>
      </c>
      <c r="U25" s="36"/>
      <c r="V25" s="39">
        <v>75</v>
      </c>
      <c r="W25" s="36"/>
      <c r="X25" s="61">
        <v>98</v>
      </c>
      <c r="Y25" s="36"/>
      <c r="Z25" s="62">
        <v>70</v>
      </c>
      <c r="AA25" s="36"/>
      <c r="AB25" s="33"/>
      <c r="AC25" s="37"/>
      <c r="AD25" s="39"/>
      <c r="AE25" s="36"/>
      <c r="AF25" s="32"/>
      <c r="AG25" s="36"/>
      <c r="AH25" s="33"/>
      <c r="AI25" s="36"/>
      <c r="AJ25" s="33"/>
      <c r="AK25" s="2"/>
    </row>
    <row r="26" spans="1:37" ht="15" thickBot="1" x14ac:dyDescent="0.35">
      <c r="A26" s="2"/>
      <c r="B26" s="4">
        <v>22</v>
      </c>
      <c r="C26" s="2"/>
      <c r="D26" s="7" t="str">
        <f>IF('Datos Generales'!C65&lt;&gt;"", 'Datos Generales'!C65, "")</f>
        <v>Reyes Romero, José Ángel Estuardo</v>
      </c>
      <c r="E26" s="2"/>
      <c r="F26" s="93">
        <v>89</v>
      </c>
      <c r="G26" s="36"/>
      <c r="H26" s="93">
        <v>89</v>
      </c>
      <c r="I26" s="36"/>
      <c r="J26" s="86">
        <v>80</v>
      </c>
      <c r="K26" s="36"/>
      <c r="L26" s="51">
        <v>78</v>
      </c>
      <c r="M26" s="36"/>
      <c r="N26" s="51">
        <v>100</v>
      </c>
      <c r="O26" s="36"/>
      <c r="P26" s="51">
        <v>92</v>
      </c>
      <c r="Q26" s="36"/>
      <c r="R26" s="59">
        <v>95</v>
      </c>
      <c r="S26" s="36"/>
      <c r="T26" s="55">
        <v>100</v>
      </c>
      <c r="U26" s="36"/>
      <c r="V26" s="39">
        <v>90</v>
      </c>
      <c r="W26" s="36"/>
      <c r="X26" s="61">
        <v>88</v>
      </c>
      <c r="Y26" s="36"/>
      <c r="Z26" s="62">
        <v>90</v>
      </c>
      <c r="AA26" s="36"/>
      <c r="AB26" s="33"/>
      <c r="AC26" s="37"/>
      <c r="AD26" s="39"/>
      <c r="AE26" s="36"/>
      <c r="AF26" s="32"/>
      <c r="AG26" s="36"/>
      <c r="AH26" s="33"/>
      <c r="AI26" s="36"/>
      <c r="AJ26" s="33"/>
      <c r="AK26" s="2"/>
    </row>
    <row r="27" spans="1:37" ht="15" thickBot="1" x14ac:dyDescent="0.35">
      <c r="A27" s="2"/>
      <c r="B27" s="4">
        <v>23</v>
      </c>
      <c r="C27" s="2"/>
      <c r="D27" s="7" t="str">
        <f>IF('Datos Generales'!C66&lt;&gt;"", 'Datos Generales'!C66, "")</f>
        <v>Tejaxun Gil, Oliver Alexander</v>
      </c>
      <c r="E27" s="2"/>
      <c r="F27" s="92">
        <v>0</v>
      </c>
      <c r="G27" s="36"/>
      <c r="H27" s="92">
        <v>0</v>
      </c>
      <c r="I27" s="36"/>
      <c r="J27" s="84">
        <v>10</v>
      </c>
      <c r="K27" s="36"/>
      <c r="L27" s="51">
        <v>52</v>
      </c>
      <c r="M27" s="36"/>
      <c r="N27" s="51">
        <v>11</v>
      </c>
      <c r="O27" s="36"/>
      <c r="P27" s="51">
        <v>64</v>
      </c>
      <c r="Q27" s="36"/>
      <c r="R27" s="59">
        <v>0</v>
      </c>
      <c r="S27" s="36"/>
      <c r="T27" s="55">
        <v>0</v>
      </c>
      <c r="U27" s="36"/>
      <c r="V27" s="39"/>
      <c r="W27" s="36"/>
      <c r="X27" s="61">
        <v>40</v>
      </c>
      <c r="Y27" s="36"/>
      <c r="Z27" s="62">
        <v>0</v>
      </c>
      <c r="AA27" s="36"/>
      <c r="AB27" s="33"/>
      <c r="AC27" s="37"/>
      <c r="AD27" s="39"/>
      <c r="AE27" s="36"/>
      <c r="AF27" s="32"/>
      <c r="AG27" s="36"/>
      <c r="AH27" s="33"/>
      <c r="AI27" s="36"/>
      <c r="AJ27" s="33"/>
      <c r="AK27" s="2"/>
    </row>
    <row r="28" spans="1:37" ht="15" thickBot="1" x14ac:dyDescent="0.35">
      <c r="A28" s="2"/>
      <c r="B28" s="4">
        <v>24</v>
      </c>
      <c r="C28" s="2"/>
      <c r="D28" s="7" t="str">
        <f>IF('Datos Generales'!C67&lt;&gt;"", 'Datos Generales'!C67, "")</f>
        <v>Tubac Paniagua, Walter Saúl</v>
      </c>
      <c r="E28" s="2"/>
      <c r="F28" s="53">
        <v>84</v>
      </c>
      <c r="G28" s="36"/>
      <c r="H28" s="53">
        <v>84</v>
      </c>
      <c r="I28" s="36"/>
      <c r="J28" s="84">
        <v>78</v>
      </c>
      <c r="K28" s="36"/>
      <c r="L28" s="87">
        <v>72</v>
      </c>
      <c r="M28" s="36"/>
      <c r="N28" s="51">
        <v>84</v>
      </c>
      <c r="O28" s="36"/>
      <c r="P28" s="87">
        <v>70</v>
      </c>
      <c r="Q28" s="36"/>
      <c r="R28" s="59">
        <v>98</v>
      </c>
      <c r="S28" s="36"/>
      <c r="T28" s="59">
        <v>98</v>
      </c>
      <c r="U28" s="36"/>
      <c r="V28" s="39">
        <v>85</v>
      </c>
      <c r="W28" s="36"/>
      <c r="X28" s="61">
        <v>81</v>
      </c>
      <c r="Y28" s="36"/>
      <c r="Z28" s="87">
        <v>100</v>
      </c>
      <c r="AA28" s="36"/>
      <c r="AB28" s="33"/>
      <c r="AC28" s="37"/>
      <c r="AD28" s="39"/>
      <c r="AE28" s="36"/>
      <c r="AF28" s="32"/>
      <c r="AG28" s="36"/>
      <c r="AH28" s="33"/>
      <c r="AI28" s="36"/>
      <c r="AJ28" s="33"/>
      <c r="AK28" s="2"/>
    </row>
    <row r="29" spans="1:37" ht="15" thickBot="1" x14ac:dyDescent="0.35">
      <c r="A29" s="2"/>
      <c r="B29" s="4">
        <v>25</v>
      </c>
      <c r="C29" s="2"/>
      <c r="D29" s="7" t="str">
        <f>IF('Datos Generales'!C68&lt;&gt;"", 'Datos Generales'!C68, "")</f>
        <v>López Magarín, Esaú César Armando</v>
      </c>
      <c r="E29" s="2"/>
      <c r="F29" s="34">
        <v>0</v>
      </c>
      <c r="G29" s="36"/>
      <c r="H29" s="34">
        <v>0</v>
      </c>
      <c r="I29" s="36"/>
      <c r="J29" s="39">
        <v>6</v>
      </c>
      <c r="K29" s="36"/>
      <c r="L29" s="39">
        <v>5</v>
      </c>
      <c r="M29" s="36"/>
      <c r="N29" s="40">
        <v>7</v>
      </c>
      <c r="O29" s="36"/>
      <c r="P29" s="39">
        <v>0</v>
      </c>
      <c r="Q29" s="36"/>
      <c r="R29" s="33">
        <v>50</v>
      </c>
      <c r="S29" s="36"/>
      <c r="T29" s="33">
        <v>54</v>
      </c>
      <c r="U29" s="36"/>
      <c r="V29" s="39"/>
      <c r="W29" s="36"/>
      <c r="X29" s="32">
        <v>20</v>
      </c>
      <c r="Y29" s="36"/>
      <c r="Z29" s="33">
        <v>0</v>
      </c>
      <c r="AA29" s="36"/>
      <c r="AB29" s="33"/>
      <c r="AC29" s="37"/>
      <c r="AD29" s="39"/>
      <c r="AE29" s="36"/>
      <c r="AF29" s="32"/>
      <c r="AG29" s="36"/>
      <c r="AH29" s="33"/>
      <c r="AI29" s="36"/>
      <c r="AJ29" s="33"/>
      <c r="AK29" s="2"/>
    </row>
    <row r="30" spans="1:37" ht="15" thickBot="1" x14ac:dyDescent="0.35">
      <c r="A30" s="2"/>
      <c r="B30" s="4">
        <v>26</v>
      </c>
      <c r="C30" s="2"/>
      <c r="D30" s="7" t="str">
        <f>IF('Datos Generales'!C69&lt;&gt;"", 'Datos Generales'!C69, "")</f>
        <v/>
      </c>
      <c r="E30" s="2"/>
      <c r="F30" s="34"/>
      <c r="G30" s="36"/>
      <c r="H30" s="31"/>
      <c r="I30" s="36"/>
      <c r="J30" s="39"/>
      <c r="K30" s="36"/>
      <c r="L30" s="39"/>
      <c r="M30" s="36"/>
      <c r="N30" s="40"/>
      <c r="O30" s="36"/>
      <c r="P30" s="39"/>
      <c r="Q30" s="36"/>
      <c r="R30" s="33"/>
      <c r="S30" s="36"/>
      <c r="T30" s="33"/>
      <c r="U30" s="36"/>
      <c r="V30" s="39"/>
      <c r="W30" s="36"/>
      <c r="X30" s="32"/>
      <c r="Y30" s="36"/>
      <c r="Z30" s="33"/>
      <c r="AA30" s="36"/>
      <c r="AB30" s="33"/>
      <c r="AC30" s="37"/>
      <c r="AD30" s="39"/>
      <c r="AE30" s="36"/>
      <c r="AF30" s="32"/>
      <c r="AG30" s="36"/>
      <c r="AH30" s="33"/>
      <c r="AI30" s="36"/>
      <c r="AJ30" s="33"/>
      <c r="AK30" s="2"/>
    </row>
    <row r="31" spans="1:37" ht="15" thickBot="1" x14ac:dyDescent="0.35">
      <c r="A31" s="2"/>
      <c r="B31" s="4">
        <v>27</v>
      </c>
      <c r="C31" s="2"/>
      <c r="D31" s="7" t="str">
        <f>IF('Datos Generales'!C70&lt;&gt;"", 'Datos Generales'!C70, "")</f>
        <v/>
      </c>
      <c r="E31" s="2"/>
      <c r="F31" s="34"/>
      <c r="G31" s="36"/>
      <c r="H31" s="31"/>
      <c r="I31" s="36"/>
      <c r="J31" s="39"/>
      <c r="K31" s="36"/>
      <c r="L31" s="39"/>
      <c r="M31" s="36"/>
      <c r="N31" s="40"/>
      <c r="O31" s="36"/>
      <c r="P31" s="39"/>
      <c r="Q31" s="36"/>
      <c r="R31" s="33"/>
      <c r="S31" s="36"/>
      <c r="T31" s="33"/>
      <c r="U31" s="36"/>
      <c r="V31" s="39"/>
      <c r="W31" s="36"/>
      <c r="X31" s="32"/>
      <c r="Y31" s="36"/>
      <c r="Z31" s="33"/>
      <c r="AA31" s="36"/>
      <c r="AB31" s="33"/>
      <c r="AC31" s="37"/>
      <c r="AD31" s="39"/>
      <c r="AE31" s="36"/>
      <c r="AF31" s="32"/>
      <c r="AG31" s="36"/>
      <c r="AH31" s="33"/>
      <c r="AI31" s="36"/>
      <c r="AJ31" s="33"/>
      <c r="AK31" s="2"/>
    </row>
    <row r="32" spans="1:37" ht="15" thickBot="1" x14ac:dyDescent="0.35">
      <c r="A32" s="2"/>
      <c r="B32" s="4">
        <v>28</v>
      </c>
      <c r="C32" s="2"/>
      <c r="D32" s="7" t="str">
        <f>IF('Datos Generales'!C71&lt;&gt;"", 'Datos Generales'!C71, "")</f>
        <v/>
      </c>
      <c r="E32" s="2"/>
      <c r="F32" s="34"/>
      <c r="G32" s="36"/>
      <c r="H32" s="31"/>
      <c r="I32" s="36"/>
      <c r="J32" s="39"/>
      <c r="K32" s="36"/>
      <c r="L32" s="39"/>
      <c r="M32" s="36"/>
      <c r="N32" s="40"/>
      <c r="O32" s="36"/>
      <c r="P32" s="39"/>
      <c r="Q32" s="36"/>
      <c r="R32" s="33"/>
      <c r="S32" s="36"/>
      <c r="T32" s="33"/>
      <c r="U32" s="36"/>
      <c r="V32" s="39"/>
      <c r="W32" s="36"/>
      <c r="X32" s="32"/>
      <c r="Y32" s="36"/>
      <c r="Z32" s="33"/>
      <c r="AA32" s="36"/>
      <c r="AB32" s="33"/>
      <c r="AC32" s="37"/>
      <c r="AD32" s="39"/>
      <c r="AE32" s="36"/>
      <c r="AF32" s="32"/>
      <c r="AG32" s="36"/>
      <c r="AH32" s="33"/>
      <c r="AI32" s="36"/>
      <c r="AJ32" s="33"/>
      <c r="AK32" s="2"/>
    </row>
    <row r="33" spans="1:37" ht="15" thickBot="1" x14ac:dyDescent="0.35">
      <c r="A33" s="2"/>
      <c r="B33" s="4">
        <v>29</v>
      </c>
      <c r="C33" s="2"/>
      <c r="D33" s="7" t="str">
        <f>IF('Datos Generales'!C72&lt;&gt;"", 'Datos Generales'!C72, "")</f>
        <v/>
      </c>
      <c r="E33" s="2"/>
      <c r="F33" s="34"/>
      <c r="G33" s="36"/>
      <c r="H33" s="31"/>
      <c r="I33" s="36"/>
      <c r="J33" s="39"/>
      <c r="K33" s="36"/>
      <c r="L33" s="39"/>
      <c r="M33" s="36"/>
      <c r="N33" s="40"/>
      <c r="O33" s="36"/>
      <c r="P33" s="39"/>
      <c r="Q33" s="36"/>
      <c r="R33" s="33"/>
      <c r="S33" s="36"/>
      <c r="T33" s="33"/>
      <c r="U33" s="36"/>
      <c r="V33" s="39"/>
      <c r="W33" s="36"/>
      <c r="X33" s="32"/>
      <c r="Y33" s="36"/>
      <c r="Z33" s="33"/>
      <c r="AA33" s="36"/>
      <c r="AB33" s="33"/>
      <c r="AC33" s="37"/>
      <c r="AD33" s="39"/>
      <c r="AE33" s="36"/>
      <c r="AF33" s="32"/>
      <c r="AG33" s="36"/>
      <c r="AH33" s="33"/>
      <c r="AI33" s="36"/>
      <c r="AJ33" s="33"/>
      <c r="AK33" s="2"/>
    </row>
    <row r="34" spans="1:37" ht="15" thickBot="1" x14ac:dyDescent="0.35">
      <c r="A34" s="2"/>
      <c r="B34" s="4">
        <v>30</v>
      </c>
      <c r="C34" s="2"/>
      <c r="D34" s="7" t="str">
        <f>IF('Datos Generales'!C73&lt;&gt;"", 'Datos Generales'!C73, "")</f>
        <v/>
      </c>
      <c r="E34" s="2"/>
      <c r="F34" s="34"/>
      <c r="G34" s="36"/>
      <c r="H34" s="31"/>
      <c r="I34" s="36"/>
      <c r="J34" s="39"/>
      <c r="K34" s="36"/>
      <c r="L34" s="39"/>
      <c r="M34" s="36"/>
      <c r="N34" s="40"/>
      <c r="O34" s="36"/>
      <c r="P34" s="39"/>
      <c r="Q34" s="36"/>
      <c r="R34" s="33"/>
      <c r="S34" s="36"/>
      <c r="T34" s="33"/>
      <c r="U34" s="36"/>
      <c r="V34" s="39"/>
      <c r="W34" s="36"/>
      <c r="X34" s="32"/>
      <c r="Y34" s="36"/>
      <c r="Z34" s="33"/>
      <c r="AA34" s="36"/>
      <c r="AB34" s="33"/>
      <c r="AC34" s="37"/>
      <c r="AD34" s="39"/>
      <c r="AE34" s="36"/>
      <c r="AF34" s="32"/>
      <c r="AG34" s="36"/>
      <c r="AH34" s="33"/>
      <c r="AI34" s="36"/>
      <c r="AJ34" s="33"/>
      <c r="AK34" s="2"/>
    </row>
    <row r="35" spans="1:37" ht="15" thickBot="1" x14ac:dyDescent="0.35">
      <c r="A35" s="2"/>
      <c r="B35" s="4">
        <v>31</v>
      </c>
      <c r="C35" s="2"/>
      <c r="D35" s="7" t="str">
        <f>IF('Datos Generales'!C74&lt;&gt;"", 'Datos Generales'!C74, "")</f>
        <v/>
      </c>
      <c r="E35" s="2"/>
      <c r="F35" s="34"/>
      <c r="G35" s="36"/>
      <c r="H35" s="31"/>
      <c r="I35" s="36"/>
      <c r="J35" s="39"/>
      <c r="K35" s="36"/>
      <c r="L35" s="39"/>
      <c r="M35" s="36"/>
      <c r="N35" s="40"/>
      <c r="O35" s="36"/>
      <c r="P35" s="39"/>
      <c r="Q35" s="36"/>
      <c r="R35" s="33"/>
      <c r="S35" s="36"/>
      <c r="T35" s="33"/>
      <c r="U35" s="36"/>
      <c r="V35" s="39"/>
      <c r="W35" s="36"/>
      <c r="X35" s="32"/>
      <c r="Y35" s="36"/>
      <c r="Z35" s="33"/>
      <c r="AA35" s="36"/>
      <c r="AB35" s="33"/>
      <c r="AC35" s="37"/>
      <c r="AD35" s="39"/>
      <c r="AE35" s="36"/>
      <c r="AF35" s="32"/>
      <c r="AG35" s="36"/>
      <c r="AH35" s="33"/>
      <c r="AI35" s="36"/>
      <c r="AJ35" s="33"/>
      <c r="AK35" s="2"/>
    </row>
    <row r="36" spans="1:37" ht="15" thickBot="1" x14ac:dyDescent="0.35">
      <c r="A36" s="2"/>
      <c r="B36" s="4">
        <v>32</v>
      </c>
      <c r="C36" s="2"/>
      <c r="D36" s="7" t="str">
        <f>IF('Datos Generales'!C75&lt;&gt;"", 'Datos Generales'!C75, "")</f>
        <v/>
      </c>
      <c r="E36" s="2"/>
      <c r="F36" s="34"/>
      <c r="G36" s="36"/>
      <c r="H36" s="31"/>
      <c r="I36" s="36"/>
      <c r="J36" s="39"/>
      <c r="K36" s="36"/>
      <c r="L36" s="39"/>
      <c r="M36" s="36"/>
      <c r="N36" s="40"/>
      <c r="O36" s="36"/>
      <c r="P36" s="39"/>
      <c r="Q36" s="36"/>
      <c r="R36" s="33"/>
      <c r="S36" s="36"/>
      <c r="T36" s="33"/>
      <c r="U36" s="36"/>
      <c r="V36" s="39"/>
      <c r="W36" s="36"/>
      <c r="X36" s="32"/>
      <c r="Y36" s="36"/>
      <c r="Z36" s="33"/>
      <c r="AA36" s="36"/>
      <c r="AB36" s="33"/>
      <c r="AC36" s="37"/>
      <c r="AD36" s="39"/>
      <c r="AE36" s="36"/>
      <c r="AF36" s="32"/>
      <c r="AG36" s="36"/>
      <c r="AH36" s="33"/>
      <c r="AI36" s="36"/>
      <c r="AJ36" s="33"/>
      <c r="AK36" s="2"/>
    </row>
    <row r="37" spans="1:37" ht="15" thickBot="1" x14ac:dyDescent="0.35">
      <c r="A37" s="2"/>
      <c r="B37" s="4">
        <v>33</v>
      </c>
      <c r="C37" s="2"/>
      <c r="D37" s="7" t="str">
        <f>IF('Datos Generales'!C76&lt;&gt;"", 'Datos Generales'!C76, "")</f>
        <v/>
      </c>
      <c r="E37" s="2"/>
      <c r="F37" s="34"/>
      <c r="G37" s="36"/>
      <c r="H37" s="31"/>
      <c r="I37" s="36"/>
      <c r="J37" s="39"/>
      <c r="K37" s="36"/>
      <c r="L37" s="39"/>
      <c r="M37" s="36"/>
      <c r="N37" s="40"/>
      <c r="O37" s="36"/>
      <c r="P37" s="39"/>
      <c r="Q37" s="36"/>
      <c r="R37" s="33"/>
      <c r="S37" s="36"/>
      <c r="T37" s="33"/>
      <c r="U37" s="36"/>
      <c r="V37" s="39"/>
      <c r="W37" s="36"/>
      <c r="X37" s="32"/>
      <c r="Y37" s="36"/>
      <c r="Z37" s="33"/>
      <c r="AA37" s="36"/>
      <c r="AB37" s="33"/>
      <c r="AC37" s="37"/>
      <c r="AD37" s="39"/>
      <c r="AE37" s="36"/>
      <c r="AF37" s="32"/>
      <c r="AG37" s="36"/>
      <c r="AH37" s="33"/>
      <c r="AI37" s="36"/>
      <c r="AJ37" s="33"/>
      <c r="AK37" s="2"/>
    </row>
    <row r="38" spans="1:37" ht="15" thickBot="1" x14ac:dyDescent="0.35">
      <c r="A38" s="2"/>
      <c r="B38" s="4">
        <v>34</v>
      </c>
      <c r="C38" s="2"/>
      <c r="D38" s="7" t="str">
        <f>IF('Datos Generales'!C77&lt;&gt;"", 'Datos Generales'!C77, "")</f>
        <v/>
      </c>
      <c r="E38" s="2"/>
      <c r="F38" s="34"/>
      <c r="G38" s="36"/>
      <c r="H38" s="31"/>
      <c r="I38" s="36"/>
      <c r="J38" s="39"/>
      <c r="K38" s="36"/>
      <c r="L38" s="39"/>
      <c r="M38" s="36"/>
      <c r="N38" s="40"/>
      <c r="O38" s="36"/>
      <c r="P38" s="39"/>
      <c r="Q38" s="36"/>
      <c r="R38" s="33"/>
      <c r="S38" s="36"/>
      <c r="T38" s="33"/>
      <c r="U38" s="36"/>
      <c r="V38" s="39"/>
      <c r="W38" s="36"/>
      <c r="X38" s="32"/>
      <c r="Y38" s="36"/>
      <c r="Z38" s="33"/>
      <c r="AA38" s="36"/>
      <c r="AB38" s="33"/>
      <c r="AC38" s="37"/>
      <c r="AD38" s="39"/>
      <c r="AE38" s="36"/>
      <c r="AF38" s="32"/>
      <c r="AG38" s="36"/>
      <c r="AH38" s="33"/>
      <c r="AI38" s="36"/>
      <c r="AJ38" s="33"/>
      <c r="AK38" s="2"/>
    </row>
    <row r="39" spans="1:37" ht="15" thickBot="1" x14ac:dyDescent="0.35">
      <c r="A39" s="2"/>
      <c r="B39" s="4">
        <v>35</v>
      </c>
      <c r="C39" s="2"/>
      <c r="D39" s="7" t="str">
        <f>IF('Datos Generales'!C78&lt;&gt;"", 'Datos Generales'!C78, "")</f>
        <v/>
      </c>
      <c r="E39" s="2"/>
      <c r="F39" s="34"/>
      <c r="G39" s="36"/>
      <c r="H39" s="31"/>
      <c r="I39" s="36"/>
      <c r="J39" s="39"/>
      <c r="K39" s="36"/>
      <c r="L39" s="39"/>
      <c r="M39" s="36"/>
      <c r="N39" s="40"/>
      <c r="O39" s="36"/>
      <c r="P39" s="41"/>
      <c r="Q39" s="36"/>
      <c r="R39" s="33"/>
      <c r="S39" s="36"/>
      <c r="T39" s="33"/>
      <c r="U39" s="36"/>
      <c r="V39" s="39"/>
      <c r="W39" s="36"/>
      <c r="X39" s="32"/>
      <c r="Y39" s="36"/>
      <c r="Z39" s="33"/>
      <c r="AA39" s="36"/>
      <c r="AB39" s="33"/>
      <c r="AC39" s="37"/>
      <c r="AD39" s="39"/>
      <c r="AE39" s="36"/>
      <c r="AF39" s="32"/>
      <c r="AG39" s="36"/>
      <c r="AH39" s="33"/>
      <c r="AI39" s="36"/>
      <c r="AJ39" s="33"/>
      <c r="AK39" s="2"/>
    </row>
    <row r="40" spans="1:37" ht="8.1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6"/>
      <c r="AD40" s="2"/>
      <c r="AE40" s="2"/>
      <c r="AF40" s="2"/>
      <c r="AG40" s="2"/>
      <c r="AH40" s="2"/>
      <c r="AI40" s="2"/>
      <c r="AJ40" s="2"/>
      <c r="AK40" s="2"/>
    </row>
  </sheetData>
  <mergeCells count="17">
    <mergeCell ref="AH2:AH3"/>
    <mergeCell ref="F1:AJ1"/>
    <mergeCell ref="F2:F3"/>
    <mergeCell ref="H2:H3"/>
    <mergeCell ref="J2:J3"/>
    <mergeCell ref="L2:L3"/>
    <mergeCell ref="N2:N3"/>
    <mergeCell ref="P2:P3"/>
    <mergeCell ref="R2:R3"/>
    <mergeCell ref="T2:T3"/>
    <mergeCell ref="V2:V3"/>
    <mergeCell ref="AJ2:AJ3"/>
    <mergeCell ref="X2:X3"/>
    <mergeCell ref="Z2:Z3"/>
    <mergeCell ref="AB2:AB3"/>
    <mergeCell ref="AD2:AD3"/>
    <mergeCell ref="AF2:AF3"/>
  </mergeCells>
  <conditionalFormatting sqref="N5:N9">
    <cfRule type="cellIs" dxfId="47" priority="30" operator="lessThan">
      <formula>60</formula>
    </cfRule>
  </conditionalFormatting>
  <conditionalFormatting sqref="N28">
    <cfRule type="cellIs" dxfId="46" priority="28" operator="lessThan">
      <formula>60</formula>
    </cfRule>
  </conditionalFormatting>
  <conditionalFormatting sqref="N10:N28">
    <cfRule type="cellIs" dxfId="45" priority="29" operator="lessThan">
      <formula>60</formula>
    </cfRule>
  </conditionalFormatting>
  <conditionalFormatting sqref="F5:F9">
    <cfRule type="cellIs" dxfId="44" priority="27" operator="lessThan">
      <formula>60</formula>
    </cfRule>
  </conditionalFormatting>
  <conditionalFormatting sqref="F28">
    <cfRule type="cellIs" dxfId="43" priority="25" operator="lessThan">
      <formula>60</formula>
    </cfRule>
  </conditionalFormatting>
  <conditionalFormatting sqref="F10:F27">
    <cfRule type="cellIs" dxfId="42" priority="26" operator="lessThan">
      <formula>60</formula>
    </cfRule>
  </conditionalFormatting>
  <conditionalFormatting sqref="H5:H9">
    <cfRule type="cellIs" dxfId="41" priority="24" operator="lessThan">
      <formula>60</formula>
    </cfRule>
  </conditionalFormatting>
  <conditionalFormatting sqref="H28">
    <cfRule type="cellIs" dxfId="40" priority="22" operator="lessThan">
      <formula>60</formula>
    </cfRule>
  </conditionalFormatting>
  <conditionalFormatting sqref="H10:H27">
    <cfRule type="cellIs" dxfId="39" priority="23" operator="lessThan">
      <formula>60</formula>
    </cfRule>
  </conditionalFormatting>
  <conditionalFormatting sqref="J5:J9">
    <cfRule type="cellIs" dxfId="38" priority="21" operator="lessThan">
      <formula>60</formula>
    </cfRule>
  </conditionalFormatting>
  <conditionalFormatting sqref="J28">
    <cfRule type="cellIs" dxfId="37" priority="19" operator="lessThan">
      <formula>60</formula>
    </cfRule>
  </conditionalFormatting>
  <conditionalFormatting sqref="J10:J27">
    <cfRule type="cellIs" dxfId="36" priority="20" operator="lessThan">
      <formula>60</formula>
    </cfRule>
  </conditionalFormatting>
  <conditionalFormatting sqref="L5:L9">
    <cfRule type="cellIs" dxfId="35" priority="18" operator="lessThan">
      <formula>60</formula>
    </cfRule>
  </conditionalFormatting>
  <conditionalFormatting sqref="L28">
    <cfRule type="cellIs" dxfId="34" priority="16" operator="lessThan">
      <formula>60</formula>
    </cfRule>
  </conditionalFormatting>
  <conditionalFormatting sqref="L10:L27">
    <cfRule type="cellIs" dxfId="33" priority="17" operator="lessThan">
      <formula>60</formula>
    </cfRule>
  </conditionalFormatting>
  <conditionalFormatting sqref="P5:P9">
    <cfRule type="cellIs" dxfId="32" priority="15" operator="lessThan">
      <formula>60</formula>
    </cfRule>
  </conditionalFormatting>
  <conditionalFormatting sqref="P28">
    <cfRule type="cellIs" dxfId="31" priority="13" operator="lessThan">
      <formula>60</formula>
    </cfRule>
  </conditionalFormatting>
  <conditionalFormatting sqref="P10:P27">
    <cfRule type="cellIs" dxfId="30" priority="14" operator="lessThan">
      <formula>60</formula>
    </cfRule>
  </conditionalFormatting>
  <conditionalFormatting sqref="R5:R9">
    <cfRule type="cellIs" dxfId="29" priority="12" operator="lessThan">
      <formula>60</formula>
    </cfRule>
  </conditionalFormatting>
  <conditionalFormatting sqref="R28">
    <cfRule type="cellIs" dxfId="28" priority="10" operator="lessThan">
      <formula>60</formula>
    </cfRule>
  </conditionalFormatting>
  <conditionalFormatting sqref="R10:R27">
    <cfRule type="cellIs" dxfId="27" priority="11" operator="lessThan">
      <formula>60</formula>
    </cfRule>
  </conditionalFormatting>
  <conditionalFormatting sqref="T5:T9">
    <cfRule type="cellIs" dxfId="26" priority="9" operator="lessThan">
      <formula>60</formula>
    </cfRule>
  </conditionalFormatting>
  <conditionalFormatting sqref="T28">
    <cfRule type="cellIs" dxfId="25" priority="7" operator="lessThan">
      <formula>60</formula>
    </cfRule>
  </conditionalFormatting>
  <conditionalFormatting sqref="T10:T27">
    <cfRule type="cellIs" dxfId="24" priority="8" operator="lessThan">
      <formula>60</formula>
    </cfRule>
  </conditionalFormatting>
  <conditionalFormatting sqref="X5:X9">
    <cfRule type="cellIs" dxfId="23" priority="6" operator="lessThan">
      <formula>60</formula>
    </cfRule>
  </conditionalFormatting>
  <conditionalFormatting sqref="X28">
    <cfRule type="cellIs" dxfId="22" priority="4" operator="lessThan">
      <formula>60</formula>
    </cfRule>
  </conditionalFormatting>
  <conditionalFormatting sqref="X10:X27">
    <cfRule type="cellIs" dxfId="21" priority="5" operator="lessThan">
      <formula>60</formula>
    </cfRule>
  </conditionalFormatting>
  <conditionalFormatting sqref="Z5:Z9">
    <cfRule type="cellIs" dxfId="20" priority="3" operator="lessThan">
      <formula>60</formula>
    </cfRule>
  </conditionalFormatting>
  <conditionalFormatting sqref="Z28">
    <cfRule type="cellIs" dxfId="19" priority="1" operator="lessThan">
      <formula>60</formula>
    </cfRule>
  </conditionalFormatting>
  <conditionalFormatting sqref="Z10:Z27">
    <cfRule type="cellIs" dxfId="18" priority="2" operator="lessThan">
      <formula>60</formula>
    </cfRule>
  </conditionalFormatting>
  <pageMargins left="0.7" right="0.7" top="0.75" bottom="0.75" header="0.3" footer="0.3"/>
  <pageSetup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0E9F-4C8F-45C5-A181-46785393BE66}">
  <sheetPr codeName="Sheet5">
    <tabColor theme="9" tint="-0.249977111117893"/>
  </sheetPr>
  <dimension ref="A1:AK40"/>
  <sheetViews>
    <sheetView showGridLines="0" topLeftCell="B10" zoomScale="112" zoomScaleNormal="85" workbookViewId="0">
      <selection activeCell="Z27" sqref="Z27"/>
    </sheetView>
  </sheetViews>
  <sheetFormatPr baseColWidth="10" defaultColWidth="11.44140625" defaultRowHeight="14.4" x14ac:dyDescent="0.3"/>
  <cols>
    <col min="1" max="1" width="0.88671875" style="1" customWidth="1"/>
    <col min="2" max="2" width="4.6640625" style="1" customWidth="1"/>
    <col min="3" max="3" width="0.88671875" style="1" customWidth="1"/>
    <col min="4" max="4" width="33.109375" style="1" customWidth="1"/>
    <col min="5" max="5" width="0.88671875" style="1" customWidth="1"/>
    <col min="6" max="6" width="5.6640625" style="1" customWidth="1"/>
    <col min="7" max="7" width="0.88671875" style="1" customWidth="1"/>
    <col min="8" max="8" width="5.6640625" style="1" customWidth="1"/>
    <col min="9" max="9" width="0.88671875" style="1" customWidth="1"/>
    <col min="10" max="10" width="5.6640625" style="1" customWidth="1"/>
    <col min="11" max="11" width="0.88671875" style="1" customWidth="1"/>
    <col min="12" max="12" width="5.6640625" style="1" customWidth="1"/>
    <col min="13" max="13" width="0.88671875" style="1" customWidth="1"/>
    <col min="14" max="14" width="5.6640625" style="1" customWidth="1"/>
    <col min="15" max="15" width="0.88671875" style="1" customWidth="1"/>
    <col min="16" max="16" width="5.6640625" style="1" customWidth="1"/>
    <col min="17" max="17" width="0.88671875" style="1" customWidth="1"/>
    <col min="18" max="18" width="5.6640625" style="1" customWidth="1"/>
    <col min="19" max="19" width="0.88671875" style="1" customWidth="1"/>
    <col min="20" max="20" width="5.6640625" style="1" customWidth="1"/>
    <col min="21" max="21" width="0.88671875" style="1" customWidth="1"/>
    <col min="22" max="22" width="5.6640625" style="1" customWidth="1"/>
    <col min="23" max="23" width="0.88671875" style="1" customWidth="1"/>
    <col min="24" max="24" width="5.6640625" style="1" customWidth="1"/>
    <col min="25" max="25" width="0.88671875" style="1" customWidth="1"/>
    <col min="26" max="26" width="5.6640625" style="1" customWidth="1"/>
    <col min="27" max="27" width="0.88671875" style="1" customWidth="1"/>
    <col min="28" max="28" width="5.6640625" style="1" customWidth="1"/>
    <col min="29" max="29" width="0.88671875" customWidth="1"/>
    <col min="30" max="30" width="5.6640625" customWidth="1"/>
    <col min="31" max="31" width="0.88671875" customWidth="1"/>
    <col min="32" max="32" width="5.6640625" customWidth="1"/>
    <col min="33" max="33" width="0.88671875" customWidth="1"/>
    <col min="34" max="34" width="5.6640625" customWidth="1"/>
    <col min="35" max="35" width="0.88671875" customWidth="1"/>
    <col min="36" max="36" width="5.6640625" hidden="1" customWidth="1"/>
    <col min="37" max="37" width="0.88671875" customWidth="1"/>
  </cols>
  <sheetData>
    <row r="1" spans="1:37" ht="9" customHeight="1" x14ac:dyDescent="0.3">
      <c r="E1" s="2"/>
      <c r="F1" s="117" t="s">
        <v>2</v>
      </c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2"/>
    </row>
    <row r="2" spans="1:37" ht="157.5" customHeight="1" x14ac:dyDescent="0.3">
      <c r="D2" s="5" t="str">
        <f>IF('Datos Generales'!D8&lt;&gt;"", 'Datos Generales'!D8, "Grado No Asignado")</f>
        <v>Quinto Bachillerato</v>
      </c>
      <c r="E2" s="2"/>
      <c r="F2" s="112" t="str">
        <f>IF('Datos Generales'!C21&lt;&gt;"", 'Datos Generales'!C21, "")</f>
        <v>Lectura</v>
      </c>
      <c r="G2" s="6"/>
      <c r="H2" s="112" t="str">
        <f>IF('Datos Generales'!C22&lt;&gt;"", 'Datos Generales'!C22, "")</f>
        <v>Redacción</v>
      </c>
      <c r="I2" s="6"/>
      <c r="J2" s="112" t="str">
        <f>IF('Datos Generales'!C23&lt;&gt;"", 'Datos Generales'!C23, "")</f>
        <v>Idioma Extranjero Inglés</v>
      </c>
      <c r="K2" s="6"/>
      <c r="L2" s="112" t="str">
        <f>IF('Datos Generales'!C24&lt;&gt;"", 'Datos Generales'!C24, "")</f>
        <v>Tecnología de Información y Comunicación</v>
      </c>
      <c r="M2" s="6"/>
      <c r="N2" s="112" t="str">
        <f>IF('Datos Generales'!C25&lt;&gt;"", 'Datos Generales'!C25, "")</f>
        <v>Matemática</v>
      </c>
      <c r="O2" s="6"/>
      <c r="P2" s="112" t="str">
        <f>IF('Datos Generales'!C26&lt;&gt;"", 'Datos Generales'!C26, "")</f>
        <v>Estadística</v>
      </c>
      <c r="Q2" s="6"/>
      <c r="R2" s="112" t="str">
        <f>IF('Datos Generales'!C27&lt;&gt;"", 'Datos Generales'!C27, "")</f>
        <v>Química</v>
      </c>
      <c r="S2" s="6"/>
      <c r="T2" s="112" t="str">
        <f>IF('Datos Generales'!C28&lt;&gt;"", 'Datos Generales'!C28, "")</f>
        <v>Biología</v>
      </c>
      <c r="U2" s="6"/>
      <c r="V2" s="112" t="str">
        <f>IF('Datos Generales'!C29&lt;&gt;"", 'Datos Generales'!C29, "")</f>
        <v>Seminario</v>
      </c>
      <c r="W2" s="6"/>
      <c r="X2" s="112" t="str">
        <f>IF('Datos Generales'!C30&lt;&gt;"", 'Datos Generales'!C30, "")</f>
        <v>Administración de Empresas</v>
      </c>
      <c r="Y2" s="6"/>
      <c r="Z2" s="112" t="str">
        <f>IF('Datos Generales'!C31&lt;&gt;"", 'Datos Generales'!C31, "")</f>
        <v>Educación Física</v>
      </c>
      <c r="AA2" s="2"/>
      <c r="AB2" s="112" t="str">
        <f>IF('Datos Generales'!C32&lt;&gt;"",'Datos Generales'!C32, "")</f>
        <v/>
      </c>
      <c r="AC2" s="6"/>
      <c r="AD2" s="112" t="str">
        <f>IF('Datos Generales'!C33&lt;&gt;"",'Datos Generales'!C33, "")</f>
        <v/>
      </c>
      <c r="AE2" s="6"/>
      <c r="AF2" s="112" t="str">
        <f>IF('Datos Generales'!C34&lt;&gt;"", 'Datos Generales'!C34, "")</f>
        <v/>
      </c>
      <c r="AG2" s="6"/>
      <c r="AH2" s="112" t="str">
        <f>IF('Datos Generales'!C35&lt;&gt;"", 'Datos Generales'!C35, "")</f>
        <v/>
      </c>
      <c r="AI2" s="2"/>
      <c r="AJ2" s="112">
        <f>'Datos Generales'!C36</f>
        <v>0</v>
      </c>
      <c r="AK2" s="2"/>
    </row>
    <row r="3" spans="1:37" ht="7.5" customHeight="1" x14ac:dyDescent="0.3">
      <c r="A3" s="2"/>
      <c r="B3" s="2"/>
      <c r="C3" s="2"/>
      <c r="D3" s="2"/>
      <c r="E3" s="2"/>
      <c r="F3" s="113"/>
      <c r="G3" s="2"/>
      <c r="H3" s="113"/>
      <c r="I3" s="2"/>
      <c r="J3" s="113"/>
      <c r="K3" s="2"/>
      <c r="L3" s="113"/>
      <c r="M3" s="2"/>
      <c r="N3" s="113"/>
      <c r="O3" s="2"/>
      <c r="P3" s="113"/>
      <c r="Q3" s="2"/>
      <c r="R3" s="113"/>
      <c r="S3" s="2"/>
      <c r="T3" s="113"/>
      <c r="U3" s="2"/>
      <c r="V3" s="113"/>
      <c r="W3" s="2"/>
      <c r="X3" s="113"/>
      <c r="Y3" s="2"/>
      <c r="Z3" s="113"/>
      <c r="AA3" s="2"/>
      <c r="AB3" s="113"/>
      <c r="AC3" s="6"/>
      <c r="AD3" s="113"/>
      <c r="AE3" s="2"/>
      <c r="AF3" s="113"/>
      <c r="AG3" s="2"/>
      <c r="AH3" s="113"/>
      <c r="AI3" s="2"/>
      <c r="AJ3" s="113"/>
      <c r="AK3" s="2"/>
    </row>
    <row r="4" spans="1:37" ht="15" thickBot="1" x14ac:dyDescent="0.35">
      <c r="A4" s="2"/>
      <c r="B4" s="3" t="s">
        <v>0</v>
      </c>
      <c r="C4" s="2"/>
      <c r="D4" s="3" t="s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6"/>
      <c r="AD4" s="2"/>
      <c r="AE4" s="2"/>
      <c r="AF4" s="2"/>
      <c r="AG4" s="2"/>
      <c r="AH4" s="2"/>
      <c r="AI4" s="2"/>
      <c r="AJ4" s="2"/>
      <c r="AK4" s="2"/>
    </row>
    <row r="5" spans="1:37" ht="15" thickBot="1" x14ac:dyDescent="0.35">
      <c r="A5" s="2"/>
      <c r="B5" s="4">
        <v>1</v>
      </c>
      <c r="C5" s="2"/>
      <c r="D5" s="7" t="str">
        <f>IF('Datos Generales'!C44&lt;&gt;"", 'Datos Generales'!C44, "")</f>
        <v>Avilés Palacios, Christopher Alexandro</v>
      </c>
      <c r="E5" s="2"/>
      <c r="F5" s="53">
        <v>85</v>
      </c>
      <c r="G5" s="36"/>
      <c r="H5" s="53">
        <v>83</v>
      </c>
      <c r="I5" s="36"/>
      <c r="J5" s="96">
        <v>68</v>
      </c>
      <c r="K5" s="36"/>
      <c r="L5" s="95">
        <v>96</v>
      </c>
      <c r="M5" s="36"/>
      <c r="N5" s="95">
        <v>71</v>
      </c>
      <c r="O5" s="36"/>
      <c r="P5" s="95">
        <v>78</v>
      </c>
      <c r="Q5" s="36"/>
      <c r="R5" s="98">
        <v>77</v>
      </c>
      <c r="S5" s="36"/>
      <c r="T5" s="99">
        <v>93</v>
      </c>
      <c r="U5" s="36"/>
      <c r="V5" s="34">
        <v>65</v>
      </c>
      <c r="W5" s="36"/>
      <c r="X5" s="97">
        <v>70</v>
      </c>
      <c r="Y5" s="36"/>
      <c r="Z5" s="100">
        <v>100</v>
      </c>
      <c r="AA5" s="36"/>
      <c r="AB5" s="31"/>
      <c r="AC5" s="37"/>
      <c r="AD5" s="38"/>
      <c r="AE5" s="36"/>
      <c r="AF5" s="34"/>
      <c r="AG5" s="36"/>
      <c r="AH5" s="31"/>
      <c r="AI5" s="36"/>
      <c r="AJ5" s="31"/>
      <c r="AK5" s="2"/>
    </row>
    <row r="6" spans="1:37" ht="15" thickBot="1" x14ac:dyDescent="0.35">
      <c r="A6" s="2"/>
      <c r="B6" s="4">
        <v>2</v>
      </c>
      <c r="C6" s="2"/>
      <c r="D6" s="7" t="str">
        <f>IF('Datos Generales'!C45&lt;&gt;"", 'Datos Generales'!C45, "")</f>
        <v>Estrada Kajihara, Yaretzi Hatsue</v>
      </c>
      <c r="E6" s="2"/>
      <c r="F6" s="53">
        <v>90</v>
      </c>
      <c r="G6" s="36"/>
      <c r="H6" s="53">
        <v>92</v>
      </c>
      <c r="I6" s="36"/>
      <c r="J6" s="84">
        <v>69</v>
      </c>
      <c r="K6" s="36"/>
      <c r="L6" s="51">
        <v>90</v>
      </c>
      <c r="M6" s="36"/>
      <c r="N6" s="51">
        <v>84</v>
      </c>
      <c r="O6" s="36"/>
      <c r="P6" s="51">
        <v>86</v>
      </c>
      <c r="Q6" s="36"/>
      <c r="R6" s="59">
        <v>96</v>
      </c>
      <c r="S6" s="36"/>
      <c r="T6" s="55">
        <v>97</v>
      </c>
      <c r="U6" s="36"/>
      <c r="V6" s="39">
        <v>95</v>
      </c>
      <c r="W6" s="36"/>
      <c r="X6" s="61">
        <v>45</v>
      </c>
      <c r="Y6" s="36"/>
      <c r="Z6" s="62">
        <v>80</v>
      </c>
      <c r="AA6" s="36"/>
      <c r="AB6" s="33"/>
      <c r="AC6" s="37"/>
      <c r="AD6" s="39"/>
      <c r="AE6" s="36"/>
      <c r="AF6" s="32"/>
      <c r="AG6" s="36"/>
      <c r="AH6" s="33"/>
      <c r="AI6" s="36"/>
      <c r="AJ6" s="33"/>
      <c r="AK6" s="2"/>
    </row>
    <row r="7" spans="1:37" ht="15" thickBot="1" x14ac:dyDescent="0.35">
      <c r="A7" s="2"/>
      <c r="B7" s="4">
        <v>3</v>
      </c>
      <c r="C7" s="2"/>
      <c r="D7" s="7" t="str">
        <f>IF('Datos Generales'!C46&lt;&gt;"", 'Datos Generales'!C46, "")</f>
        <v>González Contreras, Joseph Ezequías</v>
      </c>
      <c r="E7" s="2"/>
      <c r="F7" s="53">
        <v>85</v>
      </c>
      <c r="G7" s="36"/>
      <c r="H7" s="53">
        <v>81</v>
      </c>
      <c r="I7" s="36"/>
      <c r="J7" s="84">
        <v>60</v>
      </c>
      <c r="K7" s="36"/>
      <c r="L7" s="51">
        <v>73</v>
      </c>
      <c r="M7" s="36"/>
      <c r="N7" s="51">
        <v>40</v>
      </c>
      <c r="O7" s="36"/>
      <c r="P7" s="51">
        <v>82</v>
      </c>
      <c r="Q7" s="36"/>
      <c r="R7" s="59">
        <v>98</v>
      </c>
      <c r="S7" s="36"/>
      <c r="T7" s="55">
        <v>95</v>
      </c>
      <c r="U7" s="36"/>
      <c r="V7" s="39">
        <v>90</v>
      </c>
      <c r="W7" s="36"/>
      <c r="X7" s="61">
        <v>50</v>
      </c>
      <c r="Y7" s="36"/>
      <c r="Z7" s="62">
        <v>70</v>
      </c>
      <c r="AA7" s="36"/>
      <c r="AB7" s="33"/>
      <c r="AC7" s="37"/>
      <c r="AD7" s="39"/>
      <c r="AE7" s="36"/>
      <c r="AF7" s="32"/>
      <c r="AG7" s="36"/>
      <c r="AH7" s="33"/>
      <c r="AI7" s="36"/>
      <c r="AJ7" s="33"/>
      <c r="AK7" s="2"/>
    </row>
    <row r="8" spans="1:37" ht="15" thickBot="1" x14ac:dyDescent="0.35">
      <c r="A8" s="2"/>
      <c r="B8" s="4">
        <v>4</v>
      </c>
      <c r="C8" s="2"/>
      <c r="D8" s="7" t="str">
        <f>IF('Datos Generales'!C47&lt;&gt;"", 'Datos Generales'!C47, "")</f>
        <v>Lee Toribio, Jhefferson Harin</v>
      </c>
      <c r="E8" s="2"/>
      <c r="F8" s="53">
        <v>100</v>
      </c>
      <c r="G8" s="36"/>
      <c r="H8" s="53">
        <v>89</v>
      </c>
      <c r="I8" s="36"/>
      <c r="J8" s="84">
        <v>90</v>
      </c>
      <c r="K8" s="36"/>
      <c r="L8" s="51">
        <v>100</v>
      </c>
      <c r="M8" s="36"/>
      <c r="N8" s="51">
        <v>83</v>
      </c>
      <c r="O8" s="36"/>
      <c r="P8" s="51">
        <v>95</v>
      </c>
      <c r="Q8" s="36"/>
      <c r="R8" s="59">
        <v>95</v>
      </c>
      <c r="S8" s="36"/>
      <c r="T8" s="55">
        <v>97</v>
      </c>
      <c r="U8" s="36"/>
      <c r="V8" s="39">
        <v>85</v>
      </c>
      <c r="W8" s="36"/>
      <c r="X8" s="61">
        <v>75</v>
      </c>
      <c r="Y8" s="36"/>
      <c r="Z8" s="62">
        <v>100</v>
      </c>
      <c r="AA8" s="36"/>
      <c r="AB8" s="33"/>
      <c r="AC8" s="37"/>
      <c r="AD8" s="39"/>
      <c r="AE8" s="36"/>
      <c r="AF8" s="32"/>
      <c r="AG8" s="36"/>
      <c r="AH8" s="33"/>
      <c r="AI8" s="36"/>
      <c r="AJ8" s="33"/>
      <c r="AK8" s="2"/>
    </row>
    <row r="9" spans="1:37" ht="15" thickBot="1" x14ac:dyDescent="0.35">
      <c r="A9" s="2"/>
      <c r="B9" s="4">
        <v>5</v>
      </c>
      <c r="C9" s="2"/>
      <c r="D9" s="7" t="str">
        <f>IF('Datos Generales'!C48&lt;&gt;"", 'Datos Generales'!C48, "")</f>
        <v>Lobos Cedillo, Luis Alejandro</v>
      </c>
      <c r="E9" s="2"/>
      <c r="F9" s="53">
        <v>80</v>
      </c>
      <c r="G9" s="36"/>
      <c r="H9" s="53">
        <v>82</v>
      </c>
      <c r="I9" s="36"/>
      <c r="J9" s="85">
        <v>68</v>
      </c>
      <c r="K9" s="36"/>
      <c r="L9" s="52">
        <v>85</v>
      </c>
      <c r="M9" s="36"/>
      <c r="N9" s="52">
        <v>67</v>
      </c>
      <c r="O9" s="36"/>
      <c r="P9" s="52">
        <v>74</v>
      </c>
      <c r="Q9" s="36"/>
      <c r="R9" s="59">
        <v>66</v>
      </c>
      <c r="S9" s="36"/>
      <c r="T9" s="55">
        <v>54</v>
      </c>
      <c r="U9" s="36"/>
      <c r="V9" s="39">
        <v>70</v>
      </c>
      <c r="W9" s="36"/>
      <c r="X9" s="61">
        <v>80</v>
      </c>
      <c r="Y9" s="36"/>
      <c r="Z9" s="62">
        <v>80</v>
      </c>
      <c r="AA9" s="36"/>
      <c r="AB9" s="33"/>
      <c r="AC9" s="37"/>
      <c r="AD9" s="39"/>
      <c r="AE9" s="36"/>
      <c r="AF9" s="32"/>
      <c r="AG9" s="36"/>
      <c r="AH9" s="33"/>
      <c r="AI9" s="36"/>
      <c r="AJ9" s="33"/>
      <c r="AK9" s="2"/>
    </row>
    <row r="10" spans="1:37" ht="15" thickBot="1" x14ac:dyDescent="0.35">
      <c r="A10" s="2"/>
      <c r="B10" s="4">
        <v>6</v>
      </c>
      <c r="C10" s="2"/>
      <c r="D10" s="7" t="str">
        <f>IF('Datos Generales'!C49&lt;&gt;"", 'Datos Generales'!C49, "")</f>
        <v>López Martínez, Dafne Jasare</v>
      </c>
      <c r="E10" s="2"/>
      <c r="F10" s="92">
        <v>80</v>
      </c>
      <c r="G10" s="36"/>
      <c r="H10" s="92">
        <v>80</v>
      </c>
      <c r="I10" s="36"/>
      <c r="J10" s="102">
        <v>83</v>
      </c>
      <c r="K10" s="103"/>
      <c r="L10" s="105">
        <v>80</v>
      </c>
      <c r="M10" s="103"/>
      <c r="N10" s="105">
        <v>73</v>
      </c>
      <c r="O10" s="36"/>
      <c r="P10" s="52">
        <v>80</v>
      </c>
      <c r="Q10" s="36"/>
      <c r="R10" s="59">
        <v>80</v>
      </c>
      <c r="S10" s="36"/>
      <c r="T10" s="108">
        <v>82</v>
      </c>
      <c r="U10" s="36"/>
      <c r="V10" s="39">
        <v>80</v>
      </c>
      <c r="W10" s="36"/>
      <c r="X10" s="61">
        <v>80</v>
      </c>
      <c r="Y10" s="36"/>
      <c r="Z10" s="62">
        <v>80</v>
      </c>
      <c r="AA10" s="36"/>
      <c r="AB10" s="33"/>
      <c r="AC10" s="37"/>
      <c r="AD10" s="39"/>
      <c r="AE10" s="36"/>
      <c r="AF10" s="32"/>
      <c r="AG10" s="36"/>
      <c r="AH10" s="33"/>
      <c r="AI10" s="36"/>
      <c r="AJ10" s="33"/>
      <c r="AK10" s="2"/>
    </row>
    <row r="11" spans="1:37" ht="15" thickBot="1" x14ac:dyDescent="0.35">
      <c r="A11" s="2"/>
      <c r="B11" s="4">
        <v>7</v>
      </c>
      <c r="C11" s="2"/>
      <c r="D11" s="7" t="str">
        <f>IF('Datos Generales'!C50&lt;&gt;"", 'Datos Generales'!C50, "")</f>
        <v>Lopez Mazate, Angel Mauricio</v>
      </c>
      <c r="E11" s="2"/>
      <c r="F11" s="53">
        <v>80</v>
      </c>
      <c r="G11" s="36">
        <v>80</v>
      </c>
      <c r="H11" s="53">
        <v>80</v>
      </c>
      <c r="I11" s="36"/>
      <c r="J11" s="102">
        <v>83</v>
      </c>
      <c r="K11" s="103"/>
      <c r="L11" s="104">
        <v>70</v>
      </c>
      <c r="M11" s="103"/>
      <c r="N11" s="105">
        <v>88</v>
      </c>
      <c r="O11" s="36"/>
      <c r="P11" s="51">
        <v>80</v>
      </c>
      <c r="Q11" s="36"/>
      <c r="R11" s="59">
        <v>80</v>
      </c>
      <c r="S11" s="36"/>
      <c r="T11" s="107">
        <v>80</v>
      </c>
      <c r="U11" s="36"/>
      <c r="V11" s="39">
        <v>65</v>
      </c>
      <c r="W11" s="36"/>
      <c r="X11" s="61">
        <v>80</v>
      </c>
      <c r="Y11" s="36"/>
      <c r="Z11" s="62">
        <v>80</v>
      </c>
      <c r="AA11" s="36"/>
      <c r="AB11" s="33"/>
      <c r="AC11" s="37"/>
      <c r="AD11" s="39"/>
      <c r="AE11" s="36"/>
      <c r="AF11" s="32"/>
      <c r="AG11" s="36"/>
      <c r="AH11" s="33"/>
      <c r="AI11" s="36"/>
      <c r="AJ11" s="33"/>
      <c r="AK11" s="2"/>
    </row>
    <row r="12" spans="1:37" ht="15" thickBot="1" x14ac:dyDescent="0.35">
      <c r="A12" s="2"/>
      <c r="B12" s="4">
        <v>8</v>
      </c>
      <c r="C12" s="2"/>
      <c r="D12" s="7" t="str">
        <f>IF('Datos Generales'!C51&lt;&gt;"", 'Datos Generales'!C51, "")</f>
        <v>López Yol, Diego Josué</v>
      </c>
      <c r="E12" s="2"/>
      <c r="F12" s="53">
        <v>85</v>
      </c>
      <c r="G12" s="36"/>
      <c r="H12" s="53">
        <v>68</v>
      </c>
      <c r="I12" s="36"/>
      <c r="J12" s="85">
        <v>89</v>
      </c>
      <c r="K12" s="36"/>
      <c r="L12" s="51">
        <v>100</v>
      </c>
      <c r="M12" s="36"/>
      <c r="N12" s="52">
        <v>61</v>
      </c>
      <c r="O12" s="36"/>
      <c r="P12" s="51">
        <v>81</v>
      </c>
      <c r="Q12" s="36"/>
      <c r="R12" s="59">
        <v>82</v>
      </c>
      <c r="S12" s="36"/>
      <c r="T12" s="55">
        <v>70</v>
      </c>
      <c r="U12" s="36"/>
      <c r="V12" s="39">
        <v>70</v>
      </c>
      <c r="W12" s="36"/>
      <c r="X12" s="61">
        <v>70</v>
      </c>
      <c r="Y12" s="36"/>
      <c r="Z12" s="62">
        <v>80</v>
      </c>
      <c r="AA12" s="36"/>
      <c r="AB12" s="33"/>
      <c r="AC12" s="37"/>
      <c r="AD12" s="39"/>
      <c r="AE12" s="36"/>
      <c r="AF12" s="32"/>
      <c r="AG12" s="36"/>
      <c r="AH12" s="33"/>
      <c r="AI12" s="36"/>
      <c r="AJ12" s="33"/>
      <c r="AK12" s="2"/>
    </row>
    <row r="13" spans="1:37" ht="15" thickBot="1" x14ac:dyDescent="0.35">
      <c r="A13" s="2"/>
      <c r="B13" s="4">
        <v>9</v>
      </c>
      <c r="C13" s="2"/>
      <c r="D13" s="7" t="str">
        <f>IF('Datos Generales'!C52&lt;&gt;"", 'Datos Generales'!C52, "")</f>
        <v>Luca Simaj, Maria Fernanda</v>
      </c>
      <c r="E13" s="2"/>
      <c r="F13" s="53">
        <v>80</v>
      </c>
      <c r="G13" s="36"/>
      <c r="H13" s="53">
        <v>72</v>
      </c>
      <c r="I13" s="36"/>
      <c r="J13" s="85">
        <v>68</v>
      </c>
      <c r="K13" s="36"/>
      <c r="L13" s="51">
        <v>70</v>
      </c>
      <c r="M13" s="36"/>
      <c r="N13" s="52">
        <v>85</v>
      </c>
      <c r="O13" s="36"/>
      <c r="P13" s="51">
        <v>87</v>
      </c>
      <c r="Q13" s="36"/>
      <c r="R13" s="59">
        <v>94</v>
      </c>
      <c r="S13" s="36"/>
      <c r="T13" s="55">
        <v>95</v>
      </c>
      <c r="U13" s="36"/>
      <c r="V13" s="39">
        <v>70</v>
      </c>
      <c r="W13" s="36"/>
      <c r="X13" s="61">
        <v>90</v>
      </c>
      <c r="Y13" s="36"/>
      <c r="Z13" s="62">
        <v>70</v>
      </c>
      <c r="AA13" s="36"/>
      <c r="AB13" s="33"/>
      <c r="AC13" s="37"/>
      <c r="AD13" s="39"/>
      <c r="AE13" s="36"/>
      <c r="AF13" s="32"/>
      <c r="AG13" s="36"/>
      <c r="AH13" s="33"/>
      <c r="AI13" s="36"/>
      <c r="AJ13" s="33"/>
      <c r="AK13" s="2"/>
    </row>
    <row r="14" spans="1:37" ht="15" thickBot="1" x14ac:dyDescent="0.35">
      <c r="A14" s="2"/>
      <c r="B14" s="4">
        <v>10</v>
      </c>
      <c r="C14" s="2"/>
      <c r="D14" s="7" t="str">
        <f>IF('Datos Generales'!C53&lt;&gt;"", 'Datos Generales'!C53, "")</f>
        <v>Marroquín Carcúz, Deyuli Mayerli</v>
      </c>
      <c r="E14" s="2"/>
      <c r="F14" s="53">
        <v>96</v>
      </c>
      <c r="G14" s="36"/>
      <c r="H14" s="53">
        <v>96</v>
      </c>
      <c r="I14" s="36"/>
      <c r="J14" s="106">
        <v>97</v>
      </c>
      <c r="K14" s="103"/>
      <c r="L14" s="104">
        <v>87</v>
      </c>
      <c r="M14" s="103"/>
      <c r="N14" s="105">
        <v>100</v>
      </c>
      <c r="O14" s="36"/>
      <c r="P14" s="51">
        <v>96</v>
      </c>
      <c r="Q14" s="36"/>
      <c r="R14" s="59">
        <v>96</v>
      </c>
      <c r="S14" s="36"/>
      <c r="T14" s="108">
        <v>100</v>
      </c>
      <c r="U14" s="36"/>
      <c r="V14" s="39">
        <v>96</v>
      </c>
      <c r="W14" s="36"/>
      <c r="X14" s="61">
        <v>96</v>
      </c>
      <c r="Y14" s="36"/>
      <c r="Z14" s="62">
        <v>96</v>
      </c>
      <c r="AA14" s="36"/>
      <c r="AB14" s="33"/>
      <c r="AC14" s="37"/>
      <c r="AD14" s="39"/>
      <c r="AE14" s="36"/>
      <c r="AF14" s="32"/>
      <c r="AG14" s="36"/>
      <c r="AH14" s="33"/>
      <c r="AI14" s="36"/>
      <c r="AJ14" s="33"/>
      <c r="AK14" s="2"/>
    </row>
    <row r="15" spans="1:37" ht="15" thickBot="1" x14ac:dyDescent="0.35">
      <c r="A15" s="2"/>
      <c r="B15" s="4">
        <v>11</v>
      </c>
      <c r="C15" s="2"/>
      <c r="D15" s="7" t="str">
        <f>IF('Datos Generales'!C54&lt;&gt;"", 'Datos Generales'!C54, "")</f>
        <v>Marroquín Larios, Yasmín Monserrat</v>
      </c>
      <c r="E15" s="2"/>
      <c r="F15" s="53">
        <v>85</v>
      </c>
      <c r="G15" s="36"/>
      <c r="H15" s="53">
        <v>77</v>
      </c>
      <c r="I15" s="36"/>
      <c r="J15" s="84">
        <v>74</v>
      </c>
      <c r="K15" s="36"/>
      <c r="L15" s="51">
        <v>91</v>
      </c>
      <c r="M15" s="36"/>
      <c r="N15" s="52">
        <v>76</v>
      </c>
      <c r="O15" s="36"/>
      <c r="P15" s="51">
        <v>72</v>
      </c>
      <c r="Q15" s="36"/>
      <c r="R15" s="59">
        <v>98</v>
      </c>
      <c r="S15" s="36"/>
      <c r="T15" s="55">
        <v>100</v>
      </c>
      <c r="U15" s="36"/>
      <c r="V15" s="39">
        <v>85</v>
      </c>
      <c r="W15" s="36"/>
      <c r="X15" s="61">
        <v>75</v>
      </c>
      <c r="Y15" s="36"/>
      <c r="Z15" s="62">
        <v>80</v>
      </c>
      <c r="AA15" s="36"/>
      <c r="AB15" s="33"/>
      <c r="AC15" s="37"/>
      <c r="AD15" s="39"/>
      <c r="AE15" s="36"/>
      <c r="AF15" s="32"/>
      <c r="AG15" s="36"/>
      <c r="AH15" s="33"/>
      <c r="AI15" s="36"/>
      <c r="AJ15" s="33"/>
      <c r="AK15" s="2"/>
    </row>
    <row r="16" spans="1:37" ht="15" thickBot="1" x14ac:dyDescent="0.35">
      <c r="A16" s="2"/>
      <c r="B16" s="4">
        <v>12</v>
      </c>
      <c r="C16" s="2"/>
      <c r="D16" s="7" t="str">
        <f>IF('Datos Generales'!C55&lt;&gt;"", 'Datos Generales'!C55, "")</f>
        <v>Marroquín Ramírez, Nilton Alexis</v>
      </c>
      <c r="E16" s="2"/>
      <c r="F16" s="53">
        <v>95</v>
      </c>
      <c r="G16" s="36"/>
      <c r="H16" s="53">
        <v>97</v>
      </c>
      <c r="I16" s="36"/>
      <c r="J16" s="84">
        <v>92</v>
      </c>
      <c r="K16" s="36"/>
      <c r="L16" s="51">
        <v>95</v>
      </c>
      <c r="M16" s="36"/>
      <c r="N16" s="52">
        <v>87</v>
      </c>
      <c r="O16" s="36"/>
      <c r="P16" s="51">
        <v>89</v>
      </c>
      <c r="Q16" s="36"/>
      <c r="R16" s="59">
        <v>91</v>
      </c>
      <c r="S16" s="36"/>
      <c r="T16" s="55">
        <v>98</v>
      </c>
      <c r="U16" s="36"/>
      <c r="V16" s="39">
        <v>65</v>
      </c>
      <c r="W16" s="36"/>
      <c r="X16" s="61">
        <v>85</v>
      </c>
      <c r="Y16" s="36"/>
      <c r="Z16" s="62">
        <v>80</v>
      </c>
      <c r="AA16" s="36"/>
      <c r="AB16" s="33"/>
      <c r="AC16" s="37"/>
      <c r="AD16" s="39"/>
      <c r="AE16" s="36"/>
      <c r="AF16" s="32"/>
      <c r="AG16" s="36"/>
      <c r="AH16" s="33"/>
      <c r="AI16" s="36"/>
      <c r="AJ16" s="33"/>
      <c r="AK16" s="2"/>
    </row>
    <row r="17" spans="1:37" ht="15" thickBot="1" x14ac:dyDescent="0.35">
      <c r="A17" s="2"/>
      <c r="B17" s="4">
        <v>13</v>
      </c>
      <c r="C17" s="2"/>
      <c r="D17" s="7" t="str">
        <f>IF('Datos Generales'!C56&lt;&gt;"", 'Datos Generales'!C56, "")</f>
        <v>Martínez Cuyún, María Inés</v>
      </c>
      <c r="E17" s="2"/>
      <c r="F17" s="53">
        <v>100</v>
      </c>
      <c r="G17" s="36"/>
      <c r="H17" s="53">
        <v>90</v>
      </c>
      <c r="I17" s="36"/>
      <c r="J17" s="84">
        <v>69</v>
      </c>
      <c r="K17" s="36"/>
      <c r="L17" s="51">
        <v>78</v>
      </c>
      <c r="M17" s="36"/>
      <c r="N17" s="52">
        <v>57</v>
      </c>
      <c r="O17" s="36"/>
      <c r="P17" s="51">
        <v>68</v>
      </c>
      <c r="Q17" s="36"/>
      <c r="R17" s="59">
        <v>98</v>
      </c>
      <c r="S17" s="36"/>
      <c r="T17" s="55">
        <v>100</v>
      </c>
      <c r="U17" s="36"/>
      <c r="V17" s="39">
        <v>85</v>
      </c>
      <c r="W17" s="36"/>
      <c r="X17" s="61">
        <v>50</v>
      </c>
      <c r="Y17" s="36"/>
      <c r="Z17" s="62">
        <v>80</v>
      </c>
      <c r="AA17" s="36"/>
      <c r="AB17" s="33"/>
      <c r="AC17" s="37"/>
      <c r="AD17" s="39"/>
      <c r="AE17" s="36"/>
      <c r="AF17" s="32"/>
      <c r="AG17" s="36"/>
      <c r="AH17" s="33"/>
      <c r="AI17" s="36"/>
      <c r="AJ17" s="33"/>
      <c r="AK17" s="2"/>
    </row>
    <row r="18" spans="1:37" ht="15" thickBot="1" x14ac:dyDescent="0.35">
      <c r="A18" s="2"/>
      <c r="B18" s="4">
        <v>14</v>
      </c>
      <c r="C18" s="2"/>
      <c r="D18" s="7" t="str">
        <f>IF('Datos Generales'!C57&lt;&gt;"", 'Datos Generales'!C57, "")</f>
        <v>Mendoza Romero, José Fernando</v>
      </c>
      <c r="E18" s="2"/>
      <c r="F18" s="53">
        <v>95</v>
      </c>
      <c r="G18" s="36"/>
      <c r="H18" s="53">
        <v>81</v>
      </c>
      <c r="I18" s="36"/>
      <c r="J18" s="84">
        <v>70</v>
      </c>
      <c r="K18" s="36"/>
      <c r="L18" s="51">
        <v>98</v>
      </c>
      <c r="M18" s="36"/>
      <c r="N18" s="52">
        <v>53</v>
      </c>
      <c r="O18" s="36"/>
      <c r="P18" s="51">
        <v>71</v>
      </c>
      <c r="Q18" s="36"/>
      <c r="R18" s="59">
        <v>84</v>
      </c>
      <c r="S18" s="36"/>
      <c r="T18" s="55">
        <v>91</v>
      </c>
      <c r="U18" s="36"/>
      <c r="V18" s="39">
        <v>70</v>
      </c>
      <c r="W18" s="36"/>
      <c r="X18" s="61">
        <v>75</v>
      </c>
      <c r="Y18" s="36"/>
      <c r="Z18" s="62">
        <v>90</v>
      </c>
      <c r="AA18" s="36"/>
      <c r="AB18" s="33"/>
      <c r="AC18" s="37"/>
      <c r="AD18" s="39"/>
      <c r="AE18" s="36"/>
      <c r="AF18" s="32"/>
      <c r="AG18" s="36"/>
      <c r="AH18" s="33"/>
      <c r="AI18" s="36"/>
      <c r="AJ18" s="33"/>
      <c r="AK18" s="2"/>
    </row>
    <row r="19" spans="1:37" ht="15" thickBot="1" x14ac:dyDescent="0.35">
      <c r="A19" s="2"/>
      <c r="B19" s="4">
        <v>15</v>
      </c>
      <c r="C19" s="2"/>
      <c r="D19" s="7" t="str">
        <f>IF('Datos Generales'!C58&lt;&gt;"", 'Datos Generales'!C58, "")</f>
        <v>Moctezuma Orenos, Kimberly Gabriela</v>
      </c>
      <c r="E19" s="2"/>
      <c r="F19" s="53">
        <v>95</v>
      </c>
      <c r="G19" s="36"/>
      <c r="H19" s="53">
        <v>31</v>
      </c>
      <c r="I19" s="36"/>
      <c r="J19" s="86">
        <v>45</v>
      </c>
      <c r="K19" s="36"/>
      <c r="L19" s="51">
        <v>70</v>
      </c>
      <c r="M19" s="36"/>
      <c r="N19" s="51">
        <v>41</v>
      </c>
      <c r="O19" s="36"/>
      <c r="P19" s="51">
        <v>55</v>
      </c>
      <c r="Q19" s="36"/>
      <c r="R19" s="59">
        <v>56</v>
      </c>
      <c r="S19" s="36"/>
      <c r="T19" s="90">
        <v>69</v>
      </c>
      <c r="U19" s="36"/>
      <c r="V19" s="39">
        <v>85</v>
      </c>
      <c r="W19" s="36"/>
      <c r="X19" s="61">
        <v>45</v>
      </c>
      <c r="Y19" s="36"/>
      <c r="Z19" s="62">
        <v>70</v>
      </c>
      <c r="AA19" s="36"/>
      <c r="AB19" s="33"/>
      <c r="AC19" s="37"/>
      <c r="AD19" s="39"/>
      <c r="AE19" s="36"/>
      <c r="AF19" s="32"/>
      <c r="AG19" s="36"/>
      <c r="AH19" s="33"/>
      <c r="AI19" s="36"/>
      <c r="AJ19" s="33"/>
      <c r="AK19" s="2"/>
    </row>
    <row r="20" spans="1:37" ht="15" thickBot="1" x14ac:dyDescent="0.35">
      <c r="A20" s="2"/>
      <c r="B20" s="4">
        <v>16</v>
      </c>
      <c r="C20" s="2"/>
      <c r="D20" s="7" t="str">
        <f>IF('Datos Generales'!C59&lt;&gt;"", 'Datos Generales'!C59, "")</f>
        <v>Oliva Romero, Jeremy Guillermo Santiago</v>
      </c>
      <c r="E20" s="2"/>
      <c r="F20" s="53">
        <v>100</v>
      </c>
      <c r="G20" s="36"/>
      <c r="H20" s="53">
        <v>87</v>
      </c>
      <c r="I20" s="36"/>
      <c r="J20" s="84">
        <v>92</v>
      </c>
      <c r="K20" s="36"/>
      <c r="L20" s="51">
        <v>100</v>
      </c>
      <c r="M20" s="36"/>
      <c r="N20" s="51">
        <v>60</v>
      </c>
      <c r="O20" s="36"/>
      <c r="P20" s="51">
        <v>83</v>
      </c>
      <c r="Q20" s="36"/>
      <c r="R20" s="59">
        <v>93</v>
      </c>
      <c r="S20" s="36"/>
      <c r="T20" s="55">
        <v>90</v>
      </c>
      <c r="U20" s="36"/>
      <c r="V20" s="39">
        <v>90</v>
      </c>
      <c r="W20" s="36"/>
      <c r="X20" s="61">
        <v>50</v>
      </c>
      <c r="Y20" s="36"/>
      <c r="Z20" s="62">
        <v>100</v>
      </c>
      <c r="AA20" s="36"/>
      <c r="AB20" s="33"/>
      <c r="AC20" s="37"/>
      <c r="AD20" s="39"/>
      <c r="AE20" s="36"/>
      <c r="AF20" s="32"/>
      <c r="AG20" s="36"/>
      <c r="AH20" s="33"/>
      <c r="AI20" s="36"/>
      <c r="AJ20" s="33"/>
      <c r="AK20" s="2"/>
    </row>
    <row r="21" spans="1:37" ht="15" thickBot="1" x14ac:dyDescent="0.35">
      <c r="A21" s="2"/>
      <c r="B21" s="4">
        <v>17</v>
      </c>
      <c r="C21" s="2"/>
      <c r="D21" s="7" t="str">
        <f>IF('Datos Generales'!C60&lt;&gt;"", 'Datos Generales'!C60, "")</f>
        <v>Pérez Días, Britany Xiomara</v>
      </c>
      <c r="E21" s="2"/>
      <c r="F21" s="53">
        <v>100</v>
      </c>
      <c r="G21" s="36"/>
      <c r="H21" s="53">
        <v>96</v>
      </c>
      <c r="I21" s="36"/>
      <c r="J21" s="84">
        <v>91</v>
      </c>
      <c r="K21" s="36"/>
      <c r="L21" s="51">
        <v>83</v>
      </c>
      <c r="M21" s="36"/>
      <c r="N21" s="51">
        <v>98</v>
      </c>
      <c r="O21" s="36"/>
      <c r="P21" s="51">
        <v>92</v>
      </c>
      <c r="Q21" s="36"/>
      <c r="R21" s="59">
        <v>97</v>
      </c>
      <c r="S21" s="36"/>
      <c r="T21" s="55">
        <v>98</v>
      </c>
      <c r="U21" s="36"/>
      <c r="V21" s="39">
        <v>85</v>
      </c>
      <c r="W21" s="36"/>
      <c r="X21" s="61">
        <v>90</v>
      </c>
      <c r="Y21" s="36"/>
      <c r="Z21" s="62">
        <v>80</v>
      </c>
      <c r="AA21" s="36"/>
      <c r="AB21" s="33"/>
      <c r="AC21" s="37"/>
      <c r="AD21" s="39"/>
      <c r="AE21" s="36"/>
      <c r="AF21" s="32"/>
      <c r="AG21" s="36"/>
      <c r="AH21" s="33"/>
      <c r="AI21" s="36"/>
      <c r="AJ21" s="33"/>
      <c r="AK21" s="2"/>
    </row>
    <row r="22" spans="1:37" ht="15" thickBot="1" x14ac:dyDescent="0.35">
      <c r="A22" s="2"/>
      <c r="B22" s="4">
        <v>18</v>
      </c>
      <c r="C22" s="2"/>
      <c r="D22" s="7" t="str">
        <f>IF('Datos Generales'!C61&lt;&gt;"", 'Datos Generales'!C61, "")</f>
        <v>Pérez Quiñonez, Jonatan Ivan</v>
      </c>
      <c r="E22" s="2"/>
      <c r="F22" s="53">
        <v>80</v>
      </c>
      <c r="G22" s="36"/>
      <c r="H22" s="53">
        <v>77</v>
      </c>
      <c r="I22" s="36"/>
      <c r="J22" s="84">
        <v>70</v>
      </c>
      <c r="K22" s="36"/>
      <c r="L22" s="51">
        <v>80</v>
      </c>
      <c r="M22" s="36"/>
      <c r="N22" s="51">
        <v>74</v>
      </c>
      <c r="O22" s="36"/>
      <c r="P22" s="51">
        <v>78</v>
      </c>
      <c r="Q22" s="36"/>
      <c r="R22" s="59">
        <v>86</v>
      </c>
      <c r="S22" s="36"/>
      <c r="T22" s="55">
        <v>94</v>
      </c>
      <c r="U22" s="36"/>
      <c r="V22" s="39">
        <v>70</v>
      </c>
      <c r="W22" s="36"/>
      <c r="X22" s="61">
        <v>80</v>
      </c>
      <c r="Y22" s="36"/>
      <c r="Z22" s="62">
        <v>100</v>
      </c>
      <c r="AA22" s="36"/>
      <c r="AB22" s="33"/>
      <c r="AC22" s="37"/>
      <c r="AD22" s="39"/>
      <c r="AE22" s="36"/>
      <c r="AF22" s="32"/>
      <c r="AG22" s="36"/>
      <c r="AH22" s="33"/>
      <c r="AI22" s="36"/>
      <c r="AJ22" s="33"/>
      <c r="AK22" s="2"/>
    </row>
    <row r="23" spans="1:37" ht="15" thickBot="1" x14ac:dyDescent="0.35">
      <c r="A23" s="2"/>
      <c r="B23" s="4">
        <v>19</v>
      </c>
      <c r="C23" s="2"/>
      <c r="D23" s="7" t="str">
        <f>IF('Datos Generales'!C62&lt;&gt;"", 'Datos Generales'!C62, "")</f>
        <v>Pichillá Castillo, Andrea Paola</v>
      </c>
      <c r="E23" s="2"/>
      <c r="F23" s="53">
        <v>95</v>
      </c>
      <c r="G23" s="36"/>
      <c r="H23" s="53">
        <v>95</v>
      </c>
      <c r="I23" s="36"/>
      <c r="J23" s="84">
        <v>83</v>
      </c>
      <c r="K23" s="36"/>
      <c r="L23" s="51">
        <v>100</v>
      </c>
      <c r="M23" s="36"/>
      <c r="N23" s="51">
        <v>100</v>
      </c>
      <c r="O23" s="36"/>
      <c r="P23" s="51">
        <v>92</v>
      </c>
      <c r="Q23" s="36"/>
      <c r="R23" s="59">
        <v>98</v>
      </c>
      <c r="S23" s="36"/>
      <c r="T23" s="55">
        <v>100</v>
      </c>
      <c r="U23" s="36"/>
      <c r="V23" s="39">
        <v>90</v>
      </c>
      <c r="W23" s="36"/>
      <c r="X23" s="61">
        <v>75</v>
      </c>
      <c r="Y23" s="36"/>
      <c r="Z23" s="62">
        <v>80</v>
      </c>
      <c r="AA23" s="36"/>
      <c r="AB23" s="33"/>
      <c r="AC23" s="37"/>
      <c r="AD23" s="39"/>
      <c r="AE23" s="36"/>
      <c r="AF23" s="32"/>
      <c r="AG23" s="36"/>
      <c r="AH23" s="33"/>
      <c r="AI23" s="36"/>
      <c r="AJ23" s="33"/>
      <c r="AK23" s="2"/>
    </row>
    <row r="24" spans="1:37" ht="15" thickBot="1" x14ac:dyDescent="0.35">
      <c r="A24" s="2"/>
      <c r="B24" s="4">
        <v>20</v>
      </c>
      <c r="C24" s="2"/>
      <c r="D24" s="7" t="str">
        <f>IF('Datos Generales'!C63&lt;&gt;"", 'Datos Generales'!C63, "")</f>
        <v>Quina Melendez, Erika Yustina</v>
      </c>
      <c r="E24" s="2"/>
      <c r="F24" s="53">
        <v>85</v>
      </c>
      <c r="G24" s="36"/>
      <c r="H24" s="53">
        <v>88</v>
      </c>
      <c r="I24" s="36"/>
      <c r="J24" s="84">
        <v>75</v>
      </c>
      <c r="K24" s="36"/>
      <c r="L24" s="51">
        <v>60</v>
      </c>
      <c r="M24" s="36"/>
      <c r="N24" s="51">
        <v>98</v>
      </c>
      <c r="O24" s="36"/>
      <c r="P24" s="51">
        <v>95</v>
      </c>
      <c r="Q24" s="36"/>
      <c r="R24" s="59">
        <v>100</v>
      </c>
      <c r="S24" s="36"/>
      <c r="T24" s="55">
        <v>100</v>
      </c>
      <c r="U24" s="36"/>
      <c r="V24" s="39">
        <v>90</v>
      </c>
      <c r="W24" s="36"/>
      <c r="X24" s="61">
        <v>85</v>
      </c>
      <c r="Y24" s="36"/>
      <c r="Z24" s="62">
        <v>70</v>
      </c>
      <c r="AA24" s="36"/>
      <c r="AB24" s="33"/>
      <c r="AC24" s="37"/>
      <c r="AD24" s="39"/>
      <c r="AE24" s="36"/>
      <c r="AF24" s="32"/>
      <c r="AG24" s="36"/>
      <c r="AH24" s="33"/>
      <c r="AI24" s="36"/>
      <c r="AJ24" s="33"/>
      <c r="AK24" s="2"/>
    </row>
    <row r="25" spans="1:37" ht="15" thickBot="1" x14ac:dyDescent="0.35">
      <c r="A25" s="2"/>
      <c r="B25" s="4">
        <v>21</v>
      </c>
      <c r="C25" s="2"/>
      <c r="D25" s="7" t="str">
        <f>IF('Datos Generales'!C64&lt;&gt;"", 'Datos Generales'!C64, "")</f>
        <v>Quiñonez García, Estefani Mariela</v>
      </c>
      <c r="E25" s="2"/>
      <c r="F25" s="53">
        <v>100</v>
      </c>
      <c r="G25" s="36"/>
      <c r="H25" s="53">
        <v>90</v>
      </c>
      <c r="I25" s="36"/>
      <c r="J25" s="84">
        <v>68</v>
      </c>
      <c r="K25" s="36"/>
      <c r="L25" s="51">
        <v>90</v>
      </c>
      <c r="M25" s="36"/>
      <c r="N25" s="51">
        <v>74</v>
      </c>
      <c r="O25" s="36"/>
      <c r="P25" s="51">
        <v>73</v>
      </c>
      <c r="Q25" s="36"/>
      <c r="R25" s="59">
        <v>96</v>
      </c>
      <c r="S25" s="36"/>
      <c r="T25" s="55">
        <v>95</v>
      </c>
      <c r="U25" s="36"/>
      <c r="V25" s="39">
        <v>75</v>
      </c>
      <c r="W25" s="36"/>
      <c r="X25" s="61">
        <v>50</v>
      </c>
      <c r="Y25" s="36"/>
      <c r="Z25" s="62">
        <v>80</v>
      </c>
      <c r="AA25" s="36"/>
      <c r="AB25" s="33"/>
      <c r="AC25" s="37"/>
      <c r="AD25" s="39"/>
      <c r="AE25" s="36"/>
      <c r="AF25" s="32"/>
      <c r="AG25" s="36"/>
      <c r="AH25" s="33"/>
      <c r="AI25" s="36"/>
      <c r="AJ25" s="33"/>
      <c r="AK25" s="2"/>
    </row>
    <row r="26" spans="1:37" ht="15" thickBot="1" x14ac:dyDescent="0.35">
      <c r="A26" s="2"/>
      <c r="B26" s="4">
        <v>22</v>
      </c>
      <c r="C26" s="2"/>
      <c r="D26" s="7" t="str">
        <f>IF('Datos Generales'!C65&lt;&gt;"", 'Datos Generales'!C65, "")</f>
        <v>Reyes Romero, José Ángel Estuardo</v>
      </c>
      <c r="E26" s="2"/>
      <c r="F26" s="53">
        <v>100</v>
      </c>
      <c r="G26" s="36"/>
      <c r="H26" s="53">
        <v>100</v>
      </c>
      <c r="I26" s="36"/>
      <c r="J26" s="86">
        <v>82</v>
      </c>
      <c r="K26" s="36"/>
      <c r="L26" s="51">
        <v>98</v>
      </c>
      <c r="M26" s="36"/>
      <c r="N26" s="51">
        <v>100</v>
      </c>
      <c r="O26" s="36"/>
      <c r="P26" s="51">
        <v>94</v>
      </c>
      <c r="Q26" s="36"/>
      <c r="R26" s="59">
        <v>94</v>
      </c>
      <c r="S26" s="36"/>
      <c r="T26" s="55">
        <v>94</v>
      </c>
      <c r="U26" s="36"/>
      <c r="V26" s="39">
        <v>90</v>
      </c>
      <c r="W26" s="36"/>
      <c r="X26" s="61">
        <v>95</v>
      </c>
      <c r="Y26" s="36"/>
      <c r="Z26" s="62">
        <v>100</v>
      </c>
      <c r="AA26" s="36"/>
      <c r="AB26" s="33"/>
      <c r="AC26" s="37"/>
      <c r="AD26" s="39"/>
      <c r="AE26" s="36"/>
      <c r="AF26" s="32"/>
      <c r="AG26" s="36"/>
      <c r="AH26" s="33"/>
      <c r="AI26" s="36"/>
      <c r="AJ26" s="33"/>
      <c r="AK26" s="2"/>
    </row>
    <row r="27" spans="1:37" ht="15" thickBot="1" x14ac:dyDescent="0.35">
      <c r="A27" s="2"/>
      <c r="B27" s="4">
        <v>23</v>
      </c>
      <c r="C27" s="2"/>
      <c r="D27" s="7" t="str">
        <f>IF('Datos Generales'!C66&lt;&gt;"", 'Datos Generales'!C66, "")</f>
        <v>Tejaxun Gil, Oliver Alexander</v>
      </c>
      <c r="E27" s="2"/>
      <c r="F27" s="53">
        <v>0</v>
      </c>
      <c r="G27" s="36"/>
      <c r="H27" s="53">
        <v>0</v>
      </c>
      <c r="I27" s="36"/>
      <c r="J27" s="84">
        <v>0</v>
      </c>
      <c r="K27" s="36"/>
      <c r="L27" s="51">
        <v>0</v>
      </c>
      <c r="M27" s="36"/>
      <c r="N27" s="51">
        <v>0</v>
      </c>
      <c r="O27" s="36"/>
      <c r="P27" s="51"/>
      <c r="Q27" s="36"/>
      <c r="R27" s="59">
        <v>0</v>
      </c>
      <c r="S27" s="36"/>
      <c r="T27" s="55">
        <v>0</v>
      </c>
      <c r="U27" s="36"/>
      <c r="V27" s="39"/>
      <c r="W27" s="36"/>
      <c r="X27" s="61">
        <v>0</v>
      </c>
      <c r="Y27" s="36"/>
      <c r="Z27" s="62">
        <v>0</v>
      </c>
      <c r="AA27" s="36"/>
      <c r="AB27" s="33"/>
      <c r="AC27" s="37"/>
      <c r="AD27" s="39"/>
      <c r="AE27" s="36"/>
      <c r="AF27" s="32"/>
      <c r="AG27" s="36"/>
      <c r="AH27" s="33"/>
      <c r="AI27" s="36"/>
      <c r="AJ27" s="33"/>
      <c r="AK27" s="2"/>
    </row>
    <row r="28" spans="1:37" ht="15" thickBot="1" x14ac:dyDescent="0.35">
      <c r="A28" s="2"/>
      <c r="B28" s="4">
        <v>24</v>
      </c>
      <c r="C28" s="2"/>
      <c r="D28" s="7" t="str">
        <f>IF('Datos Generales'!C67&lt;&gt;"", 'Datos Generales'!C67, "")</f>
        <v>Tubac Paniagua, Walter Saúl</v>
      </c>
      <c r="E28" s="2"/>
      <c r="F28" s="53">
        <v>85</v>
      </c>
      <c r="G28" s="36"/>
      <c r="H28" s="53">
        <v>89</v>
      </c>
      <c r="I28" s="36"/>
      <c r="J28" s="84">
        <v>72</v>
      </c>
      <c r="K28" s="36"/>
      <c r="L28" s="87">
        <v>90</v>
      </c>
      <c r="M28" s="36"/>
      <c r="N28" s="51">
        <v>100</v>
      </c>
      <c r="O28" s="36"/>
      <c r="P28" s="87">
        <v>75</v>
      </c>
      <c r="Q28" s="36"/>
      <c r="R28" s="59">
        <v>96</v>
      </c>
      <c r="S28" s="36"/>
      <c r="T28" s="59">
        <v>96</v>
      </c>
      <c r="U28" s="36"/>
      <c r="V28" s="39">
        <v>85</v>
      </c>
      <c r="W28" s="36"/>
      <c r="X28" s="61">
        <v>64</v>
      </c>
      <c r="Y28" s="36"/>
      <c r="Z28" s="87">
        <v>100</v>
      </c>
      <c r="AA28" s="36"/>
      <c r="AB28" s="33"/>
      <c r="AC28" s="37"/>
      <c r="AD28" s="39"/>
      <c r="AE28" s="36"/>
      <c r="AF28" s="32"/>
      <c r="AG28" s="36"/>
      <c r="AH28" s="33"/>
      <c r="AI28" s="36"/>
      <c r="AJ28" s="33"/>
      <c r="AK28" s="2"/>
    </row>
    <row r="29" spans="1:37" ht="15" thickBot="1" x14ac:dyDescent="0.35">
      <c r="A29" s="2"/>
      <c r="B29" s="4">
        <v>25</v>
      </c>
      <c r="C29" s="2"/>
      <c r="D29" s="7" t="str">
        <f>IF('Datos Generales'!C68&lt;&gt;"", 'Datos Generales'!C68, "")</f>
        <v>López Magarín, Esaú César Armando</v>
      </c>
      <c r="E29" s="2"/>
      <c r="F29" s="34"/>
      <c r="G29" s="36"/>
      <c r="H29" s="31"/>
      <c r="I29" s="36"/>
      <c r="J29" s="39"/>
      <c r="K29" s="36"/>
      <c r="L29" s="39"/>
      <c r="M29" s="36"/>
      <c r="N29" s="40">
        <v>0</v>
      </c>
      <c r="O29" s="36"/>
      <c r="P29" s="39"/>
      <c r="Q29" s="36"/>
      <c r="R29" s="33"/>
      <c r="S29" s="36"/>
      <c r="T29" s="33"/>
      <c r="U29" s="36"/>
      <c r="V29" s="39"/>
      <c r="W29" s="36"/>
      <c r="X29" s="32"/>
      <c r="Y29" s="36"/>
      <c r="Z29" s="33">
        <v>0</v>
      </c>
      <c r="AA29" s="36"/>
      <c r="AB29" s="33"/>
      <c r="AC29" s="37"/>
      <c r="AD29" s="39"/>
      <c r="AE29" s="36"/>
      <c r="AF29" s="32"/>
      <c r="AG29" s="36"/>
      <c r="AH29" s="33"/>
      <c r="AI29" s="36"/>
      <c r="AJ29" s="33"/>
      <c r="AK29" s="2"/>
    </row>
    <row r="30" spans="1:37" ht="15" thickBot="1" x14ac:dyDescent="0.35">
      <c r="A30" s="2"/>
      <c r="B30" s="4">
        <v>26</v>
      </c>
      <c r="C30" s="2"/>
      <c r="D30" s="7" t="str">
        <f>IF('Datos Generales'!C69&lt;&gt;"", 'Datos Generales'!C69, "")</f>
        <v/>
      </c>
      <c r="E30" s="2"/>
      <c r="F30" s="34"/>
      <c r="G30" s="36"/>
      <c r="H30" s="31"/>
      <c r="I30" s="36"/>
      <c r="J30" s="39"/>
      <c r="K30" s="36"/>
      <c r="L30" s="39"/>
      <c r="M30" s="36"/>
      <c r="N30" s="40"/>
      <c r="O30" s="36"/>
      <c r="P30" s="39"/>
      <c r="Q30" s="36"/>
      <c r="R30" s="33"/>
      <c r="S30" s="36"/>
      <c r="T30" s="33"/>
      <c r="U30" s="36"/>
      <c r="V30" s="39"/>
      <c r="W30" s="36"/>
      <c r="X30" s="32"/>
      <c r="Y30" s="36"/>
      <c r="Z30" s="33"/>
      <c r="AA30" s="36"/>
      <c r="AB30" s="33"/>
      <c r="AC30" s="37"/>
      <c r="AD30" s="39"/>
      <c r="AE30" s="36"/>
      <c r="AF30" s="32"/>
      <c r="AG30" s="36"/>
      <c r="AH30" s="33"/>
      <c r="AI30" s="36"/>
      <c r="AJ30" s="33"/>
      <c r="AK30" s="2"/>
    </row>
    <row r="31" spans="1:37" ht="15" thickBot="1" x14ac:dyDescent="0.35">
      <c r="A31" s="2"/>
      <c r="B31" s="4">
        <v>27</v>
      </c>
      <c r="C31" s="2"/>
      <c r="D31" s="7" t="str">
        <f>IF('Datos Generales'!C70&lt;&gt;"", 'Datos Generales'!C70, "")</f>
        <v/>
      </c>
      <c r="E31" s="2"/>
      <c r="F31" s="34"/>
      <c r="G31" s="36"/>
      <c r="H31" s="31"/>
      <c r="I31" s="36"/>
      <c r="J31" s="39"/>
      <c r="K31" s="36"/>
      <c r="L31" s="39"/>
      <c r="M31" s="36"/>
      <c r="N31" s="40"/>
      <c r="O31" s="36"/>
      <c r="P31" s="39"/>
      <c r="Q31" s="36"/>
      <c r="R31" s="33"/>
      <c r="S31" s="36"/>
      <c r="T31" s="33"/>
      <c r="U31" s="36"/>
      <c r="V31" s="39"/>
      <c r="W31" s="36"/>
      <c r="X31" s="32"/>
      <c r="Y31" s="36"/>
      <c r="Z31" s="33"/>
      <c r="AA31" s="36"/>
      <c r="AB31" s="33"/>
      <c r="AC31" s="37"/>
      <c r="AD31" s="39"/>
      <c r="AE31" s="36"/>
      <c r="AF31" s="32"/>
      <c r="AG31" s="36"/>
      <c r="AH31" s="33"/>
      <c r="AI31" s="36"/>
      <c r="AJ31" s="33"/>
      <c r="AK31" s="2"/>
    </row>
    <row r="32" spans="1:37" ht="15" thickBot="1" x14ac:dyDescent="0.35">
      <c r="A32" s="2"/>
      <c r="B32" s="4">
        <v>28</v>
      </c>
      <c r="C32" s="2"/>
      <c r="D32" s="7" t="str">
        <f>IF('Datos Generales'!C71&lt;&gt;"", 'Datos Generales'!C71, "")</f>
        <v/>
      </c>
      <c r="E32" s="2"/>
      <c r="F32" s="34"/>
      <c r="G32" s="36"/>
      <c r="H32" s="31"/>
      <c r="I32" s="36"/>
      <c r="J32" s="39"/>
      <c r="K32" s="36"/>
      <c r="L32" s="39"/>
      <c r="M32" s="36"/>
      <c r="N32" s="40"/>
      <c r="O32" s="36"/>
      <c r="P32" s="39"/>
      <c r="Q32" s="36"/>
      <c r="R32" s="33"/>
      <c r="S32" s="36"/>
      <c r="T32" s="33"/>
      <c r="U32" s="36"/>
      <c r="V32" s="39"/>
      <c r="W32" s="36"/>
      <c r="X32" s="32"/>
      <c r="Y32" s="36"/>
      <c r="Z32" s="33"/>
      <c r="AA32" s="36"/>
      <c r="AB32" s="33"/>
      <c r="AC32" s="37"/>
      <c r="AD32" s="39"/>
      <c r="AE32" s="36"/>
      <c r="AF32" s="32"/>
      <c r="AG32" s="36"/>
      <c r="AH32" s="33"/>
      <c r="AI32" s="36"/>
      <c r="AJ32" s="33"/>
      <c r="AK32" s="2"/>
    </row>
    <row r="33" spans="1:37" ht="15" thickBot="1" x14ac:dyDescent="0.35">
      <c r="A33" s="2"/>
      <c r="B33" s="4">
        <v>29</v>
      </c>
      <c r="C33" s="2"/>
      <c r="D33" s="7" t="str">
        <f>IF('Datos Generales'!C72&lt;&gt;"", 'Datos Generales'!C72, "")</f>
        <v/>
      </c>
      <c r="E33" s="2"/>
      <c r="F33" s="34"/>
      <c r="G33" s="36"/>
      <c r="H33" s="31"/>
      <c r="I33" s="36"/>
      <c r="J33" s="39"/>
      <c r="K33" s="36"/>
      <c r="L33" s="39"/>
      <c r="M33" s="36"/>
      <c r="N33" s="40"/>
      <c r="O33" s="36"/>
      <c r="P33" s="39"/>
      <c r="Q33" s="36"/>
      <c r="R33" s="33"/>
      <c r="S33" s="36"/>
      <c r="T33" s="33"/>
      <c r="U33" s="36"/>
      <c r="V33" s="39"/>
      <c r="W33" s="36"/>
      <c r="X33" s="32"/>
      <c r="Y33" s="36"/>
      <c r="Z33" s="33"/>
      <c r="AA33" s="36"/>
      <c r="AB33" s="33"/>
      <c r="AC33" s="37"/>
      <c r="AD33" s="39"/>
      <c r="AE33" s="36"/>
      <c r="AF33" s="32"/>
      <c r="AG33" s="36"/>
      <c r="AH33" s="33"/>
      <c r="AI33" s="36"/>
      <c r="AJ33" s="33"/>
      <c r="AK33" s="2"/>
    </row>
    <row r="34" spans="1:37" ht="15" thickBot="1" x14ac:dyDescent="0.35">
      <c r="A34" s="2"/>
      <c r="B34" s="4">
        <v>30</v>
      </c>
      <c r="C34" s="2"/>
      <c r="D34" s="7" t="str">
        <f>IF('Datos Generales'!C73&lt;&gt;"", 'Datos Generales'!C73, "")</f>
        <v/>
      </c>
      <c r="E34" s="2"/>
      <c r="F34" s="34"/>
      <c r="G34" s="36"/>
      <c r="H34" s="31"/>
      <c r="I34" s="36"/>
      <c r="J34" s="39"/>
      <c r="K34" s="36"/>
      <c r="L34" s="39"/>
      <c r="M34" s="36"/>
      <c r="N34" s="40"/>
      <c r="O34" s="36"/>
      <c r="P34" s="39"/>
      <c r="Q34" s="36"/>
      <c r="R34" s="33"/>
      <c r="S34" s="36"/>
      <c r="T34" s="33"/>
      <c r="U34" s="36"/>
      <c r="V34" s="39"/>
      <c r="W34" s="36"/>
      <c r="X34" s="32"/>
      <c r="Y34" s="36"/>
      <c r="Z34" s="33"/>
      <c r="AA34" s="36"/>
      <c r="AB34" s="33"/>
      <c r="AC34" s="37"/>
      <c r="AD34" s="39"/>
      <c r="AE34" s="36"/>
      <c r="AF34" s="32"/>
      <c r="AG34" s="36"/>
      <c r="AH34" s="33"/>
      <c r="AI34" s="36"/>
      <c r="AJ34" s="33"/>
      <c r="AK34" s="2"/>
    </row>
    <row r="35" spans="1:37" ht="15" thickBot="1" x14ac:dyDescent="0.35">
      <c r="A35" s="2"/>
      <c r="B35" s="4">
        <v>31</v>
      </c>
      <c r="C35" s="2"/>
      <c r="D35" s="7" t="str">
        <f>IF('Datos Generales'!C74&lt;&gt;"", 'Datos Generales'!C74, "")</f>
        <v/>
      </c>
      <c r="E35" s="2"/>
      <c r="F35" s="34"/>
      <c r="G35" s="36"/>
      <c r="H35" s="31"/>
      <c r="I35" s="36"/>
      <c r="J35" s="39"/>
      <c r="K35" s="36"/>
      <c r="L35" s="39"/>
      <c r="M35" s="36"/>
      <c r="N35" s="40"/>
      <c r="O35" s="36"/>
      <c r="P35" s="39"/>
      <c r="Q35" s="36"/>
      <c r="R35" s="33"/>
      <c r="S35" s="36"/>
      <c r="T35" s="33"/>
      <c r="U35" s="36"/>
      <c r="V35" s="39"/>
      <c r="W35" s="36"/>
      <c r="X35" s="32"/>
      <c r="Y35" s="36"/>
      <c r="Z35" s="33"/>
      <c r="AA35" s="36"/>
      <c r="AB35" s="33"/>
      <c r="AC35" s="37"/>
      <c r="AD35" s="39"/>
      <c r="AE35" s="36"/>
      <c r="AF35" s="32"/>
      <c r="AG35" s="36"/>
      <c r="AH35" s="33"/>
      <c r="AI35" s="36"/>
      <c r="AJ35" s="33"/>
      <c r="AK35" s="2"/>
    </row>
    <row r="36" spans="1:37" ht="15" thickBot="1" x14ac:dyDescent="0.35">
      <c r="A36" s="2"/>
      <c r="B36" s="4">
        <v>32</v>
      </c>
      <c r="C36" s="2"/>
      <c r="D36" s="7" t="str">
        <f>IF('Datos Generales'!C75&lt;&gt;"", 'Datos Generales'!C75, "")</f>
        <v/>
      </c>
      <c r="E36" s="2"/>
      <c r="F36" s="34"/>
      <c r="G36" s="36"/>
      <c r="H36" s="31"/>
      <c r="I36" s="36"/>
      <c r="J36" s="39"/>
      <c r="K36" s="36"/>
      <c r="L36" s="39"/>
      <c r="M36" s="36"/>
      <c r="N36" s="40"/>
      <c r="O36" s="36"/>
      <c r="P36" s="39"/>
      <c r="Q36" s="36"/>
      <c r="R36" s="33"/>
      <c r="S36" s="36"/>
      <c r="T36" s="33"/>
      <c r="U36" s="36"/>
      <c r="V36" s="39"/>
      <c r="W36" s="36"/>
      <c r="X36" s="32"/>
      <c r="Y36" s="36"/>
      <c r="Z36" s="33"/>
      <c r="AA36" s="36"/>
      <c r="AB36" s="33"/>
      <c r="AC36" s="37"/>
      <c r="AD36" s="39"/>
      <c r="AE36" s="36"/>
      <c r="AF36" s="32"/>
      <c r="AG36" s="36"/>
      <c r="AH36" s="33"/>
      <c r="AI36" s="36"/>
      <c r="AJ36" s="33"/>
      <c r="AK36" s="2"/>
    </row>
    <row r="37" spans="1:37" ht="15" thickBot="1" x14ac:dyDescent="0.35">
      <c r="A37" s="2"/>
      <c r="B37" s="4">
        <v>33</v>
      </c>
      <c r="C37" s="2"/>
      <c r="D37" s="7" t="str">
        <f>IF('Datos Generales'!C76&lt;&gt;"", 'Datos Generales'!C76, "")</f>
        <v/>
      </c>
      <c r="E37" s="2"/>
      <c r="F37" s="34"/>
      <c r="G37" s="36"/>
      <c r="H37" s="31"/>
      <c r="I37" s="36"/>
      <c r="J37" s="39"/>
      <c r="K37" s="36"/>
      <c r="L37" s="39"/>
      <c r="M37" s="36"/>
      <c r="N37" s="40"/>
      <c r="O37" s="36"/>
      <c r="P37" s="39"/>
      <c r="Q37" s="36"/>
      <c r="R37" s="33"/>
      <c r="S37" s="36"/>
      <c r="T37" s="33"/>
      <c r="U37" s="36"/>
      <c r="V37" s="39"/>
      <c r="W37" s="36"/>
      <c r="X37" s="32"/>
      <c r="Y37" s="36"/>
      <c r="Z37" s="33"/>
      <c r="AA37" s="36"/>
      <c r="AB37" s="33"/>
      <c r="AC37" s="37"/>
      <c r="AD37" s="39"/>
      <c r="AE37" s="36"/>
      <c r="AF37" s="32"/>
      <c r="AG37" s="36"/>
      <c r="AH37" s="33"/>
      <c r="AI37" s="36"/>
      <c r="AJ37" s="33"/>
      <c r="AK37" s="2"/>
    </row>
    <row r="38" spans="1:37" ht="15" thickBot="1" x14ac:dyDescent="0.35">
      <c r="A38" s="2"/>
      <c r="B38" s="4">
        <v>34</v>
      </c>
      <c r="C38" s="2"/>
      <c r="D38" s="7" t="str">
        <f>IF('Datos Generales'!C77&lt;&gt;"", 'Datos Generales'!C77, "")</f>
        <v/>
      </c>
      <c r="E38" s="2"/>
      <c r="F38" s="34"/>
      <c r="G38" s="36"/>
      <c r="H38" s="31"/>
      <c r="I38" s="36"/>
      <c r="J38" s="39"/>
      <c r="K38" s="36"/>
      <c r="L38" s="39"/>
      <c r="M38" s="36"/>
      <c r="N38" s="40"/>
      <c r="O38" s="36"/>
      <c r="P38" s="39"/>
      <c r="Q38" s="36"/>
      <c r="R38" s="33"/>
      <c r="S38" s="36"/>
      <c r="T38" s="33"/>
      <c r="U38" s="36"/>
      <c r="V38" s="39"/>
      <c r="W38" s="36"/>
      <c r="X38" s="32"/>
      <c r="Y38" s="36"/>
      <c r="Z38" s="33"/>
      <c r="AA38" s="36"/>
      <c r="AB38" s="33"/>
      <c r="AC38" s="37"/>
      <c r="AD38" s="39"/>
      <c r="AE38" s="36"/>
      <c r="AF38" s="32"/>
      <c r="AG38" s="36"/>
      <c r="AH38" s="33"/>
      <c r="AI38" s="36"/>
      <c r="AJ38" s="33"/>
      <c r="AK38" s="2"/>
    </row>
    <row r="39" spans="1:37" ht="15" thickBot="1" x14ac:dyDescent="0.35">
      <c r="A39" s="2"/>
      <c r="B39" s="4">
        <v>35</v>
      </c>
      <c r="C39" s="2"/>
      <c r="D39" s="7" t="str">
        <f>IF('Datos Generales'!C78&lt;&gt;"", 'Datos Generales'!C78, "")</f>
        <v/>
      </c>
      <c r="E39" s="2"/>
      <c r="F39" s="34"/>
      <c r="G39" s="36"/>
      <c r="H39" s="31"/>
      <c r="I39" s="36"/>
      <c r="J39" s="39"/>
      <c r="K39" s="36"/>
      <c r="L39" s="39"/>
      <c r="M39" s="36"/>
      <c r="N39" s="40"/>
      <c r="O39" s="36"/>
      <c r="P39" s="41"/>
      <c r="Q39" s="36"/>
      <c r="R39" s="33"/>
      <c r="S39" s="36"/>
      <c r="T39" s="33"/>
      <c r="U39" s="36"/>
      <c r="V39" s="39"/>
      <c r="W39" s="36"/>
      <c r="X39" s="32"/>
      <c r="Y39" s="36"/>
      <c r="Z39" s="33"/>
      <c r="AA39" s="36"/>
      <c r="AB39" s="33"/>
      <c r="AC39" s="37"/>
      <c r="AD39" s="39"/>
      <c r="AE39" s="36"/>
      <c r="AF39" s="32"/>
      <c r="AG39" s="36"/>
      <c r="AH39" s="33"/>
      <c r="AI39" s="36"/>
      <c r="AJ39" s="33"/>
      <c r="AK39" s="2"/>
    </row>
    <row r="40" spans="1:37" ht="8.1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6"/>
      <c r="AD40" s="2"/>
      <c r="AE40" s="2"/>
      <c r="AF40" s="2"/>
      <c r="AG40" s="2"/>
      <c r="AH40" s="2"/>
      <c r="AI40" s="2"/>
      <c r="AJ40" s="2"/>
      <c r="AK40" s="2"/>
    </row>
  </sheetData>
  <mergeCells count="17">
    <mergeCell ref="AH2:AH3"/>
    <mergeCell ref="F1:AJ1"/>
    <mergeCell ref="F2:F3"/>
    <mergeCell ref="H2:H3"/>
    <mergeCell ref="J2:J3"/>
    <mergeCell ref="L2:L3"/>
    <mergeCell ref="N2:N3"/>
    <mergeCell ref="P2:P3"/>
    <mergeCell ref="R2:R3"/>
    <mergeCell ref="T2:T3"/>
    <mergeCell ref="V2:V3"/>
    <mergeCell ref="AJ2:AJ3"/>
    <mergeCell ref="X2:X3"/>
    <mergeCell ref="Z2:Z3"/>
    <mergeCell ref="AB2:AB3"/>
    <mergeCell ref="AD2:AD3"/>
    <mergeCell ref="AF2:AF3"/>
  </mergeCells>
  <conditionalFormatting sqref="N5:N9">
    <cfRule type="cellIs" dxfId="17" priority="18" operator="lessThan">
      <formula>60</formula>
    </cfRule>
  </conditionalFormatting>
  <conditionalFormatting sqref="N28">
    <cfRule type="cellIs" dxfId="16" priority="16" operator="lessThan">
      <formula>60</formula>
    </cfRule>
  </conditionalFormatting>
  <conditionalFormatting sqref="N10:N28">
    <cfRule type="cellIs" dxfId="15" priority="17" operator="lessThan">
      <formula>60</formula>
    </cfRule>
  </conditionalFormatting>
  <conditionalFormatting sqref="H5:H9">
    <cfRule type="cellIs" dxfId="14" priority="15" operator="lessThan">
      <formula>60</formula>
    </cfRule>
  </conditionalFormatting>
  <conditionalFormatting sqref="H28">
    <cfRule type="cellIs" dxfId="13" priority="13" operator="lessThan">
      <formula>60</formula>
    </cfRule>
  </conditionalFormatting>
  <conditionalFormatting sqref="H10:H27">
    <cfRule type="cellIs" dxfId="12" priority="14" operator="lessThan">
      <formula>60</formula>
    </cfRule>
  </conditionalFormatting>
  <conditionalFormatting sqref="F5:F9">
    <cfRule type="cellIs" dxfId="11" priority="12" operator="lessThan">
      <formula>60</formula>
    </cfRule>
  </conditionalFormatting>
  <conditionalFormatting sqref="F28">
    <cfRule type="cellIs" dxfId="10" priority="10" operator="lessThan">
      <formula>60</formula>
    </cfRule>
  </conditionalFormatting>
  <conditionalFormatting sqref="F10:F27">
    <cfRule type="cellIs" dxfId="9" priority="11" operator="lessThan">
      <formula>60</formula>
    </cfRule>
  </conditionalFormatting>
  <conditionalFormatting sqref="J5:J9">
    <cfRule type="cellIs" dxfId="8" priority="9" operator="lessThan">
      <formula>60</formula>
    </cfRule>
  </conditionalFormatting>
  <conditionalFormatting sqref="J28">
    <cfRule type="cellIs" dxfId="7" priority="7" operator="lessThan">
      <formula>60</formula>
    </cfRule>
  </conditionalFormatting>
  <conditionalFormatting sqref="J10:J27">
    <cfRule type="cellIs" dxfId="6" priority="8" operator="lessThan">
      <formula>60</formula>
    </cfRule>
  </conditionalFormatting>
  <conditionalFormatting sqref="L5:L28">
    <cfRule type="cellIs" dxfId="5" priority="6" operator="lessThan">
      <formula>60</formula>
    </cfRule>
  </conditionalFormatting>
  <conditionalFormatting sqref="X5:X28">
    <cfRule type="cellIs" dxfId="4" priority="5" operator="lessThan">
      <formula>60</formula>
    </cfRule>
  </conditionalFormatting>
  <conditionalFormatting sqref="P5:P28">
    <cfRule type="cellIs" dxfId="3" priority="4" operator="lessThan">
      <formula>60</formula>
    </cfRule>
  </conditionalFormatting>
  <conditionalFormatting sqref="R5:R28">
    <cfRule type="cellIs" dxfId="2" priority="3" operator="lessThan">
      <formula>60</formula>
    </cfRule>
  </conditionalFormatting>
  <conditionalFormatting sqref="T5:T28">
    <cfRule type="cellIs" dxfId="1" priority="2" operator="lessThan">
      <formula>60</formula>
    </cfRule>
  </conditionalFormatting>
  <conditionalFormatting sqref="Z5:Z28">
    <cfRule type="cellIs" dxfId="0" priority="1" operator="lessThan">
      <formula>60</formula>
    </cfRule>
  </conditionalFormatting>
  <pageMargins left="0.7" right="0.7" top="0.75" bottom="0.75" header="0.3" footer="0.3"/>
  <pageSetup orientation="landscape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3" tint="0.39997558519241921"/>
  </sheetPr>
  <dimension ref="A1:AM40"/>
  <sheetViews>
    <sheetView showGridLines="0" topLeftCell="A5" zoomScale="115" zoomScaleNormal="115" workbookViewId="0">
      <selection activeCell="AO5" sqref="AO5"/>
    </sheetView>
  </sheetViews>
  <sheetFormatPr baseColWidth="10" defaultColWidth="11.44140625" defaultRowHeight="14.4" x14ac:dyDescent="0.3"/>
  <cols>
    <col min="1" max="1" width="0.88671875" style="1" customWidth="1"/>
    <col min="2" max="2" width="4.6640625" style="1" customWidth="1"/>
    <col min="3" max="3" width="0.88671875" style="1" customWidth="1"/>
    <col min="4" max="4" width="33.109375" style="1" customWidth="1"/>
    <col min="5" max="5" width="0.88671875" style="1" customWidth="1"/>
    <col min="6" max="6" width="5.6640625" style="1" customWidth="1"/>
    <col min="7" max="7" width="0.88671875" style="1" customWidth="1"/>
    <col min="8" max="8" width="5.6640625" style="1" customWidth="1"/>
    <col min="9" max="9" width="0.88671875" style="1" customWidth="1"/>
    <col min="10" max="10" width="5.6640625" style="1" customWidth="1"/>
    <col min="11" max="11" width="0.88671875" style="1" customWidth="1"/>
    <col min="12" max="12" width="5.6640625" style="1" customWidth="1"/>
    <col min="13" max="13" width="0.88671875" style="1" customWidth="1"/>
    <col min="14" max="14" width="5.6640625" style="1" customWidth="1"/>
    <col min="15" max="15" width="0.88671875" style="1" customWidth="1"/>
    <col min="16" max="16" width="5.6640625" style="1" customWidth="1"/>
    <col min="17" max="17" width="0.88671875" style="1" customWidth="1"/>
    <col min="18" max="18" width="5.6640625" style="1" customWidth="1"/>
    <col min="19" max="19" width="0.88671875" style="1" customWidth="1"/>
    <col min="20" max="20" width="5.6640625" style="1" customWidth="1"/>
    <col min="21" max="21" width="0.88671875" style="1" customWidth="1"/>
    <col min="22" max="22" width="5.6640625" style="1" customWidth="1"/>
    <col min="23" max="23" width="0.88671875" style="1" customWidth="1"/>
    <col min="24" max="24" width="5.6640625" style="1" customWidth="1"/>
    <col min="25" max="25" width="0.88671875" style="1" customWidth="1"/>
    <col min="26" max="26" width="4.44140625" style="1" bestFit="1" customWidth="1"/>
    <col min="27" max="27" width="0.88671875" style="1" customWidth="1"/>
    <col min="28" max="28" width="5.6640625" style="1" customWidth="1"/>
    <col min="29" max="29" width="0.88671875" customWidth="1"/>
    <col min="30" max="30" width="5.6640625" customWidth="1"/>
    <col min="31" max="31" width="0.88671875" customWidth="1"/>
    <col min="32" max="32" width="5.6640625" customWidth="1"/>
    <col min="33" max="33" width="0.88671875" customWidth="1"/>
    <col min="34" max="34" width="5.6640625" customWidth="1"/>
    <col min="35" max="35" width="0.88671875" customWidth="1"/>
    <col min="36" max="36" width="5.6640625" hidden="1" customWidth="1"/>
    <col min="37" max="37" width="0.88671875" customWidth="1"/>
    <col min="38" max="38" width="5.6640625" customWidth="1"/>
    <col min="39" max="39" width="0.88671875" customWidth="1"/>
  </cols>
  <sheetData>
    <row r="1" spans="1:39" ht="9" customHeight="1" x14ac:dyDescent="0.3">
      <c r="E1" s="2"/>
      <c r="F1" s="114" t="s">
        <v>2</v>
      </c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2"/>
    </row>
    <row r="2" spans="1:39" ht="194.25" customHeight="1" x14ac:dyDescent="0.3">
      <c r="D2" s="5" t="str">
        <f>IF('Datos Generales'!D8&lt;&gt;"", 'Datos Generales'!D8, "Grado No Asignado")</f>
        <v>Quinto Bachillerato</v>
      </c>
      <c r="E2" s="2"/>
      <c r="F2" s="112" t="str">
        <f>IF('Datos Generales'!C21&lt;&gt;"", 'Datos Generales'!C21, "")</f>
        <v>Lectura</v>
      </c>
      <c r="G2" s="6"/>
      <c r="H2" s="112" t="str">
        <f>IF('Datos Generales'!C22&lt;&gt;"", 'Datos Generales'!C22, "")</f>
        <v>Redacción</v>
      </c>
      <c r="I2" s="6"/>
      <c r="J2" s="112" t="str">
        <f>IF('Datos Generales'!C23&lt;&gt;"", 'Datos Generales'!C23, "")</f>
        <v>Idioma Extranjero Inglés</v>
      </c>
      <c r="K2" s="6"/>
      <c r="L2" s="112" t="str">
        <f>IF('Datos Generales'!C24&lt;&gt;"", 'Datos Generales'!C24, "")</f>
        <v>Tecnología de Información y Comunicación</v>
      </c>
      <c r="M2" s="6"/>
      <c r="N2" s="112" t="str">
        <f>IF('Datos Generales'!C25&lt;&gt;"", 'Datos Generales'!C25, "")</f>
        <v>Matemática</v>
      </c>
      <c r="O2" s="6"/>
      <c r="P2" s="112" t="str">
        <f>IF('Datos Generales'!C26&lt;&gt;"", 'Datos Generales'!C26, "")</f>
        <v>Estadística</v>
      </c>
      <c r="Q2" s="6"/>
      <c r="R2" s="112" t="str">
        <f>IF('Datos Generales'!C27&lt;&gt;"", 'Datos Generales'!C27, "")</f>
        <v>Química</v>
      </c>
      <c r="S2" s="6"/>
      <c r="T2" s="112" t="str">
        <f>IF('Datos Generales'!C28&lt;&gt;"", 'Datos Generales'!C28, "")</f>
        <v>Biología</v>
      </c>
      <c r="U2" s="6"/>
      <c r="V2" s="112" t="str">
        <f>IF('Datos Generales'!C29&lt;&gt;"", 'Datos Generales'!C29, "")</f>
        <v>Seminario</v>
      </c>
      <c r="W2" s="6"/>
      <c r="X2" s="112" t="str">
        <f>IF('Datos Generales'!C30&lt;&gt;"", 'Datos Generales'!C30, "")</f>
        <v>Administración de Empresas</v>
      </c>
      <c r="Y2" s="6"/>
      <c r="Z2" s="112" t="str">
        <f>IF('Datos Generales'!C31&lt;&gt;"", 'Datos Generales'!C31, "")</f>
        <v>Educación Física</v>
      </c>
      <c r="AA2" s="2"/>
      <c r="AB2" s="112" t="str">
        <f>IF('Datos Generales'!C32&lt;&gt;"",'Datos Generales'!C32, "")</f>
        <v/>
      </c>
      <c r="AC2" s="6"/>
      <c r="AD2" s="112" t="str">
        <f>IF('Datos Generales'!C33&lt;&gt;"",'Datos Generales'!C33, "")</f>
        <v/>
      </c>
      <c r="AE2" s="6"/>
      <c r="AF2" s="112" t="str">
        <f>IF('Datos Generales'!C34&lt;&gt;"", 'Datos Generales'!C34, "")</f>
        <v/>
      </c>
      <c r="AG2" s="6"/>
      <c r="AH2" s="112" t="str">
        <f>IF('Datos Generales'!C35&lt;&gt;"", 'Datos Generales'!C35, "")</f>
        <v/>
      </c>
      <c r="AI2" s="2"/>
      <c r="AJ2" s="112">
        <f>'Datos Generales'!C36</f>
        <v>0</v>
      </c>
      <c r="AK2" s="2"/>
      <c r="AL2" s="113" t="s">
        <v>16</v>
      </c>
      <c r="AM2" s="2"/>
    </row>
    <row r="3" spans="1:39" ht="7.5" customHeight="1" x14ac:dyDescent="0.3">
      <c r="A3" s="2"/>
      <c r="B3" s="2"/>
      <c r="C3" s="2"/>
      <c r="D3" s="2"/>
      <c r="E3" s="2"/>
      <c r="F3" s="113"/>
      <c r="G3" s="2"/>
      <c r="H3" s="113"/>
      <c r="I3" s="2"/>
      <c r="J3" s="113"/>
      <c r="K3" s="2"/>
      <c r="L3" s="113"/>
      <c r="M3" s="2"/>
      <c r="N3" s="113"/>
      <c r="O3" s="2"/>
      <c r="P3" s="113"/>
      <c r="Q3" s="2"/>
      <c r="R3" s="113"/>
      <c r="S3" s="2"/>
      <c r="T3" s="113"/>
      <c r="U3" s="2"/>
      <c r="V3" s="113"/>
      <c r="W3" s="2"/>
      <c r="X3" s="113"/>
      <c r="Y3" s="2"/>
      <c r="Z3" s="113"/>
      <c r="AA3" s="2"/>
      <c r="AB3" s="113"/>
      <c r="AC3" s="6"/>
      <c r="AD3" s="113"/>
      <c r="AE3" s="2"/>
      <c r="AF3" s="113"/>
      <c r="AG3" s="2"/>
      <c r="AH3" s="113"/>
      <c r="AI3" s="2"/>
      <c r="AJ3" s="113"/>
      <c r="AK3" s="2"/>
      <c r="AL3" s="113"/>
      <c r="AM3" s="2"/>
    </row>
    <row r="4" spans="1:39" ht="15" thickBot="1" x14ac:dyDescent="0.35">
      <c r="A4" s="2"/>
      <c r="B4" s="3" t="s">
        <v>0</v>
      </c>
      <c r="C4" s="2"/>
      <c r="D4" s="3" t="s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6"/>
      <c r="AD4" s="2"/>
      <c r="AE4" s="2"/>
      <c r="AF4" s="2"/>
      <c r="AG4" s="2"/>
      <c r="AH4" s="2"/>
      <c r="AI4" s="2"/>
      <c r="AJ4" s="2"/>
      <c r="AK4" s="2"/>
      <c r="AL4" s="2"/>
      <c r="AM4" s="2"/>
    </row>
    <row r="5" spans="1:39" ht="15" thickBot="1" x14ac:dyDescent="0.35">
      <c r="A5" s="2"/>
      <c r="B5" s="4">
        <v>1</v>
      </c>
      <c r="C5" s="2"/>
      <c r="D5" s="7" t="str">
        <f>IF('Datos Generales'!C44&lt;&gt;"", 'Datos Generales'!C44, "")</f>
        <v>Avilés Palacios, Christopher Alexandro</v>
      </c>
      <c r="E5" s="2"/>
      <c r="F5" s="34">
        <f ca="1">'1'!M14</f>
        <v>77.849999999999994</v>
      </c>
      <c r="G5" s="35"/>
      <c r="H5" s="34">
        <f ca="1">'1'!M15</f>
        <v>77.149999999999991</v>
      </c>
      <c r="I5" s="35"/>
      <c r="J5" s="34">
        <f ca="1">'1'!M16</f>
        <v>66</v>
      </c>
      <c r="K5" s="35"/>
      <c r="L5" s="34">
        <f ca="1">'1'!M17</f>
        <v>71.799999999999983</v>
      </c>
      <c r="M5" s="35"/>
      <c r="N5" s="34">
        <f ca="1">'1'!M18</f>
        <v>73.149999999999991</v>
      </c>
      <c r="O5" s="35"/>
      <c r="P5" s="34">
        <f ca="1">'1'!M19</f>
        <v>72.7</v>
      </c>
      <c r="Q5" s="35"/>
      <c r="R5" s="34">
        <f ca="1">'1'!M20</f>
        <v>75.350000000000009</v>
      </c>
      <c r="S5" s="35"/>
      <c r="T5" s="34">
        <f ca="1">'1'!M21</f>
        <v>78.650000000000006</v>
      </c>
      <c r="U5" s="35"/>
      <c r="V5" s="34">
        <f ca="1">'1'!M22</f>
        <v>70</v>
      </c>
      <c r="W5" s="35"/>
      <c r="X5" s="34">
        <f ca="1">'1'!M23</f>
        <v>74.95</v>
      </c>
      <c r="Y5" s="35"/>
      <c r="Z5" s="34">
        <f ca="1">'1'!M24</f>
        <v>91.1</v>
      </c>
      <c r="AA5" s="35"/>
      <c r="AB5" s="34"/>
      <c r="AC5" s="35"/>
      <c r="AD5" s="34" t="str">
        <f>IF($D5&lt;&gt;"", IF(AD$2&lt;&gt;"", SUM('Unidad 1'!AD5, 'Unidad 2'!AD5, 'Unidad 3'!AD5, 'Unidad 4'!AD5)/4, ""), "")</f>
        <v/>
      </c>
      <c r="AE5" s="35"/>
      <c r="AF5" s="34" t="str">
        <f>IF($D5&lt;&gt;"", IF(AF$2&lt;&gt;"", SUM('Unidad 1'!AF5, 'Unidad 2'!AF5, 'Unidad 3'!AF5, 'Unidad 4'!AF5)/4, ""), "")</f>
        <v/>
      </c>
      <c r="AG5" s="35"/>
      <c r="AH5" s="34" t="str">
        <f>IF($D5&lt;&gt;"", IF(AH$2&lt;&gt;"", SUM('Unidad 1'!AH5, 'Unidad 2'!AH5, 'Unidad 3'!AH5, 'Unidad 4'!AH5)/4, ""), "")</f>
        <v/>
      </c>
      <c r="AI5" s="35"/>
      <c r="AJ5" s="34" t="e">
        <f>SUM(('Unidad 1'!AJ5+#REF!+#REF!+#REF!)/4)</f>
        <v>#REF!</v>
      </c>
      <c r="AK5" s="35"/>
      <c r="AL5" s="18" t="str">
        <f ca="1">IF($D5&lt;&gt;"", IF(AND(F5&gt;=60, H5&gt;=60, J5&gt;=60, L5&gt;=60, N5&gt;=60, P5&gt;=60, R5&gt;=60, T5&gt;=60, V5&gt;=60, X5&gt;=60, Z5&gt;=60, AB5&gt;=60, AD5&gt;=60, AF5&gt;=60, AH5&gt;=60), "A", "R"), "")</f>
        <v>R</v>
      </c>
      <c r="AM5" s="2"/>
    </row>
    <row r="6" spans="1:39" ht="15" thickBot="1" x14ac:dyDescent="0.35">
      <c r="A6" s="2"/>
      <c r="B6" s="4">
        <v>2</v>
      </c>
      <c r="C6" s="2"/>
      <c r="D6" s="7" t="str">
        <f>IF('Datos Generales'!C45&lt;&gt;"", 'Datos Generales'!C45, "")</f>
        <v>Estrada Kajihara, Yaretzi Hatsue</v>
      </c>
      <c r="E6" s="2"/>
      <c r="F6" s="34">
        <f ca="1">'2'!M14</f>
        <v>86.300000000000011</v>
      </c>
      <c r="G6" s="36"/>
      <c r="H6" s="34">
        <f ca="1">'2'!M15</f>
        <v>87</v>
      </c>
      <c r="I6" s="36"/>
      <c r="J6" s="34">
        <f ca="1">'2'!M16</f>
        <v>84.65</v>
      </c>
      <c r="K6" s="36"/>
      <c r="L6" s="34">
        <f ca="1">'2'!M17</f>
        <v>84</v>
      </c>
      <c r="M6" s="36"/>
      <c r="N6" s="34">
        <f ca="1">'2'!M18</f>
        <v>90.2</v>
      </c>
      <c r="O6" s="36"/>
      <c r="P6" s="34">
        <f ca="1">'2'!M19</f>
        <v>80.899999999999991</v>
      </c>
      <c r="Q6" s="36"/>
      <c r="R6" s="34">
        <f ca="1">'2'!M20</f>
        <v>93.3</v>
      </c>
      <c r="S6" s="36"/>
      <c r="T6" s="34">
        <f ca="1">'2'!M21</f>
        <v>89.95</v>
      </c>
      <c r="U6" s="36"/>
      <c r="V6" s="34">
        <f ca="1">'2'!M22</f>
        <v>95</v>
      </c>
      <c r="W6" s="36"/>
      <c r="X6" s="34">
        <f ca="1">'2'!M23</f>
        <v>76.650000000000006</v>
      </c>
      <c r="Y6" s="36"/>
      <c r="Z6" s="34">
        <f ca="1">'2'!M24</f>
        <v>83.65</v>
      </c>
      <c r="AA6" s="36"/>
      <c r="AB6" s="34"/>
      <c r="AC6" s="37"/>
      <c r="AD6" s="34" t="str">
        <f>IF($D6&lt;&gt;"", IF(AD$2&lt;&gt;"", SUM('Unidad 1'!AD6, 'Unidad 2'!AD6, 'Unidad 3'!AD6, 'Unidad 4'!AD6)/4, ""), "")</f>
        <v/>
      </c>
      <c r="AE6" s="36"/>
      <c r="AF6" s="34" t="str">
        <f>IF($D6&lt;&gt;"", IF(AF$2&lt;&gt;"", SUM('Unidad 1'!AF6, 'Unidad 2'!AF6, 'Unidad 3'!AF6, 'Unidad 4'!AF6)/4, ""), "")</f>
        <v/>
      </c>
      <c r="AG6" s="36"/>
      <c r="AH6" s="34" t="str">
        <f>IF($D6&lt;&gt;"", IF(AH$2&lt;&gt;"", SUM('Unidad 1'!AH6, 'Unidad 2'!AH6, 'Unidad 3'!AH6, 'Unidad 4'!AH6)/4, ""), "")</f>
        <v/>
      </c>
      <c r="AI6" s="36"/>
      <c r="AJ6" s="34" t="e">
        <f>SUM(('Unidad 1'!AJ6+#REF!+#REF!+#REF!)/4)</f>
        <v>#REF!</v>
      </c>
      <c r="AK6" s="36"/>
      <c r="AL6" s="18" t="str">
        <f t="shared" ref="AL6:AL39" ca="1" si="0">IF($D6&lt;&gt;"", IF(AND(F6&gt;=60, H6&gt;=60, J6&gt;=60, L6&gt;=60, N6&gt;=60, P6&gt;=60, R6&gt;=60, T6&gt;=60, V6&gt;=60, X6&gt;=60, Z6&gt;=60, AB6&gt;=60, AD6&gt;=60, AF6&gt;=60, AH6&gt;=60), "A", "R"), "")</f>
        <v>R</v>
      </c>
      <c r="AM6" s="2"/>
    </row>
    <row r="7" spans="1:39" ht="15" thickBot="1" x14ac:dyDescent="0.35">
      <c r="A7" s="2"/>
      <c r="B7" s="4">
        <v>3</v>
      </c>
      <c r="C7" s="2"/>
      <c r="D7" s="7" t="str">
        <f>IF('Datos Generales'!C46&lt;&gt;"", 'Datos Generales'!C46, "")</f>
        <v>González Contreras, Joseph Ezequías</v>
      </c>
      <c r="E7" s="2"/>
      <c r="F7" s="34">
        <f ca="1">'3'!M14</f>
        <v>83.5</v>
      </c>
      <c r="G7" s="36"/>
      <c r="H7" s="34">
        <f ca="1">'3'!M15</f>
        <v>82.1</v>
      </c>
      <c r="I7" s="36"/>
      <c r="J7" s="34">
        <f ca="1">'3'!M16</f>
        <v>70.5</v>
      </c>
      <c r="K7" s="36"/>
      <c r="L7" s="34">
        <f ca="1">'3'!M17</f>
        <v>73.150000000000006</v>
      </c>
      <c r="M7" s="36"/>
      <c r="N7" s="34">
        <v>60</v>
      </c>
      <c r="O7" s="36"/>
      <c r="P7" s="34">
        <f ca="1">'3'!M19</f>
        <v>62.900000000000006</v>
      </c>
      <c r="Q7" s="36"/>
      <c r="R7" s="34">
        <f ca="1">'3'!M20</f>
        <v>91.399999999999991</v>
      </c>
      <c r="S7" s="36"/>
      <c r="T7" s="34">
        <f ca="1">'3'!M21</f>
        <v>90.15</v>
      </c>
      <c r="U7" s="36"/>
      <c r="V7" s="34">
        <f ca="1">'3'!M22</f>
        <v>90</v>
      </c>
      <c r="W7" s="36"/>
      <c r="X7" s="34">
        <f ca="1">'3'!M23</f>
        <v>75.7</v>
      </c>
      <c r="Y7" s="36"/>
      <c r="Z7" s="34">
        <f ca="1">'3'!M24</f>
        <v>78.099999999999994</v>
      </c>
      <c r="AA7" s="36"/>
      <c r="AB7" s="34"/>
      <c r="AC7" s="37"/>
      <c r="AD7" s="34" t="str">
        <f>IF($D7&lt;&gt;"", IF(AD$2&lt;&gt;"", SUM('Unidad 1'!AD7, 'Unidad 2'!AD7, 'Unidad 3'!AD7, 'Unidad 4'!AD7)/4, ""), "")</f>
        <v/>
      </c>
      <c r="AE7" s="36"/>
      <c r="AF7" s="34" t="str">
        <f>IF($D7&lt;&gt;"", IF(AF$2&lt;&gt;"", SUM('Unidad 1'!AF7, 'Unidad 2'!AF7, 'Unidad 3'!AF7, 'Unidad 4'!AF7)/4, ""), "")</f>
        <v/>
      </c>
      <c r="AG7" s="36"/>
      <c r="AH7" s="34" t="str">
        <f>IF($D7&lt;&gt;"", IF(AH$2&lt;&gt;"", SUM('Unidad 1'!AH7, 'Unidad 2'!AH7, 'Unidad 3'!AH7, 'Unidad 4'!AH7)/4, ""), "")</f>
        <v/>
      </c>
      <c r="AI7" s="36"/>
      <c r="AJ7" s="34" t="e">
        <f>SUM(('Unidad 1'!AJ7+#REF!+#REF!+#REF!)/4)</f>
        <v>#REF!</v>
      </c>
      <c r="AK7" s="36"/>
      <c r="AL7" s="18" t="str">
        <f t="shared" ca="1" si="0"/>
        <v>R</v>
      </c>
      <c r="AM7" s="2"/>
    </row>
    <row r="8" spans="1:39" ht="15" thickBot="1" x14ac:dyDescent="0.35">
      <c r="A8" s="2"/>
      <c r="B8" s="4">
        <v>4</v>
      </c>
      <c r="C8" s="2"/>
      <c r="D8" s="7" t="str">
        <f>IF('Datos Generales'!C47&lt;&gt;"", 'Datos Generales'!C47, "")</f>
        <v>Lee Toribio, Jhefferson Harin</v>
      </c>
      <c r="E8" s="2"/>
      <c r="F8" s="34">
        <f ca="1">'4'!M14</f>
        <v>90.35</v>
      </c>
      <c r="G8" s="36"/>
      <c r="H8" s="34">
        <f ca="1">'4'!M15</f>
        <v>86.5</v>
      </c>
      <c r="I8" s="36"/>
      <c r="J8" s="34">
        <f ca="1">'4'!M16</f>
        <v>85.100000000000009</v>
      </c>
      <c r="K8" s="36"/>
      <c r="L8" s="34">
        <f ca="1">'4'!M17</f>
        <v>95.85</v>
      </c>
      <c r="M8" s="36"/>
      <c r="N8" s="34">
        <f ca="1">'4'!M18</f>
        <v>91.05</v>
      </c>
      <c r="O8" s="36"/>
      <c r="P8" s="34">
        <f ca="1">'4'!M19</f>
        <v>88.850000000000009</v>
      </c>
      <c r="Q8" s="36"/>
      <c r="R8" s="34">
        <f ca="1">'4'!M20</f>
        <v>92</v>
      </c>
      <c r="S8" s="36"/>
      <c r="T8" s="34">
        <f ca="1">'4'!M21</f>
        <v>90.55</v>
      </c>
      <c r="U8" s="36"/>
      <c r="V8" s="34">
        <f ca="1">'4'!M22</f>
        <v>89</v>
      </c>
      <c r="W8" s="36"/>
      <c r="X8" s="34">
        <f ca="1">'4'!M23</f>
        <v>84.2</v>
      </c>
      <c r="Y8" s="36"/>
      <c r="Z8" s="34">
        <f ca="1">'4'!M24</f>
        <v>88.5</v>
      </c>
      <c r="AA8" s="36"/>
      <c r="AB8" s="34"/>
      <c r="AC8" s="37"/>
      <c r="AD8" s="34" t="str">
        <f>IF($D8&lt;&gt;"", IF(AD$2&lt;&gt;"", SUM('Unidad 1'!AD8, 'Unidad 2'!AD8, 'Unidad 3'!AD8, 'Unidad 4'!AD8)/4, ""), "")</f>
        <v/>
      </c>
      <c r="AE8" s="36"/>
      <c r="AF8" s="34" t="str">
        <f>IF($D8&lt;&gt;"", IF(AF$2&lt;&gt;"", SUM('Unidad 1'!AF8, 'Unidad 2'!AF8, 'Unidad 3'!AF8, 'Unidad 4'!AF8)/4, ""), "")</f>
        <v/>
      </c>
      <c r="AG8" s="36"/>
      <c r="AH8" s="34" t="str">
        <f>IF($D8&lt;&gt;"", IF(AH$2&lt;&gt;"", SUM('Unidad 1'!AH8, 'Unidad 2'!AH8, 'Unidad 3'!AH8, 'Unidad 4'!AH8)/4, ""), "")</f>
        <v/>
      </c>
      <c r="AI8" s="36"/>
      <c r="AJ8" s="34" t="e">
        <f>SUM(('Unidad 1'!AJ8+#REF!+#REF!+#REF!)/4)</f>
        <v>#REF!</v>
      </c>
      <c r="AK8" s="36"/>
      <c r="AL8" s="18" t="str">
        <f t="shared" ca="1" si="0"/>
        <v>R</v>
      </c>
      <c r="AM8" s="2"/>
    </row>
    <row r="9" spans="1:39" ht="15" thickBot="1" x14ac:dyDescent="0.35">
      <c r="A9" s="2"/>
      <c r="B9" s="4">
        <v>5</v>
      </c>
      <c r="C9" s="2"/>
      <c r="D9" s="7" t="str">
        <f>IF('Datos Generales'!C48&lt;&gt;"", 'Datos Generales'!C48, "")</f>
        <v>Lobos Cedillo, Luis Alejandro</v>
      </c>
      <c r="E9" s="2"/>
      <c r="F9" s="34">
        <f ca="1">'5'!M14</f>
        <v>73.099999999999994</v>
      </c>
      <c r="G9" s="36"/>
      <c r="H9" s="34">
        <f ca="1">'5'!M15</f>
        <v>73.800000000000011</v>
      </c>
      <c r="I9" s="36"/>
      <c r="J9" s="34">
        <f ca="1">'5'!M16</f>
        <v>73.150000000000006</v>
      </c>
      <c r="K9" s="36"/>
      <c r="L9" s="34">
        <f ca="1">'5'!M17</f>
        <v>62.9</v>
      </c>
      <c r="M9" s="36"/>
      <c r="N9" s="34">
        <f ca="1">'5'!M18</f>
        <v>76.500000000000014</v>
      </c>
      <c r="O9" s="36"/>
      <c r="P9" s="34">
        <f ca="1">'5'!M19</f>
        <v>73.900000000000006</v>
      </c>
      <c r="Q9" s="36"/>
      <c r="R9" s="34">
        <f ca="1">'5'!M20</f>
        <v>71.400000000000006</v>
      </c>
      <c r="S9" s="36"/>
      <c r="T9" s="34">
        <f ca="1">'5'!M21</f>
        <v>64.150000000000006</v>
      </c>
      <c r="U9" s="36"/>
      <c r="V9" s="34">
        <f ca="1">'5'!M22</f>
        <v>74</v>
      </c>
      <c r="W9" s="36"/>
      <c r="X9" s="34">
        <f ca="1">'5'!M23</f>
        <v>83.85</v>
      </c>
      <c r="Y9" s="36"/>
      <c r="Z9" s="34">
        <f ca="1">'5'!M24</f>
        <v>84</v>
      </c>
      <c r="AA9" s="36"/>
      <c r="AB9" s="34"/>
      <c r="AC9" s="37"/>
      <c r="AD9" s="34" t="str">
        <f>IF($D9&lt;&gt;"", IF(AD$2&lt;&gt;"", SUM('Unidad 1'!AD9, 'Unidad 2'!AD9, 'Unidad 3'!AD9, 'Unidad 4'!AD9)/4, ""), "")</f>
        <v/>
      </c>
      <c r="AE9" s="36"/>
      <c r="AF9" s="34" t="str">
        <f>IF($D9&lt;&gt;"", IF(AF$2&lt;&gt;"", SUM('Unidad 1'!AF9, 'Unidad 2'!AF9, 'Unidad 3'!AF9, 'Unidad 4'!AF9)/4, ""), "")</f>
        <v/>
      </c>
      <c r="AG9" s="36"/>
      <c r="AH9" s="34" t="str">
        <f>IF($D9&lt;&gt;"", IF(AH$2&lt;&gt;"", SUM('Unidad 1'!AH9, 'Unidad 2'!AH9, 'Unidad 3'!AH9, 'Unidad 4'!AH9)/4, ""), "")</f>
        <v/>
      </c>
      <c r="AI9" s="36"/>
      <c r="AJ9" s="34" t="e">
        <f>SUM(('Unidad 1'!AJ9+#REF!+#REF!+#REF!)/4)</f>
        <v>#REF!</v>
      </c>
      <c r="AK9" s="36"/>
      <c r="AL9" s="18" t="str">
        <f t="shared" ca="1" si="0"/>
        <v>R</v>
      </c>
      <c r="AM9" s="2"/>
    </row>
    <row r="10" spans="1:39" ht="15" thickBot="1" x14ac:dyDescent="0.35">
      <c r="A10" s="2"/>
      <c r="B10" s="4">
        <v>6</v>
      </c>
      <c r="C10" s="2"/>
      <c r="D10" s="7" t="str">
        <f>IF('Datos Generales'!C49&lt;&gt;"", 'Datos Generales'!C49, "")</f>
        <v>López Martínez, Dafne Jasare</v>
      </c>
      <c r="E10" s="2"/>
      <c r="F10" s="34">
        <f ca="1">'6'!M14</f>
        <v>72.625</v>
      </c>
      <c r="G10" s="36"/>
      <c r="H10" s="34">
        <f ca="1">'6'!M15</f>
        <v>72.75</v>
      </c>
      <c r="I10" s="36"/>
      <c r="J10" s="34">
        <f ca="1">'6'!M16</f>
        <v>74.45</v>
      </c>
      <c r="K10" s="36"/>
      <c r="L10" s="34">
        <f ca="1">'6'!M17</f>
        <v>75.45</v>
      </c>
      <c r="M10" s="36"/>
      <c r="N10" s="34">
        <f ca="1">'6'!M18</f>
        <v>77.400000000000006</v>
      </c>
      <c r="O10" s="36"/>
      <c r="P10" s="34">
        <f ca="1">'6'!M19</f>
        <v>66.349999999999994</v>
      </c>
      <c r="Q10" s="36"/>
      <c r="R10" s="34">
        <f ca="1">'6'!M20</f>
        <v>82.350000000000009</v>
      </c>
      <c r="S10" s="36"/>
      <c r="T10" s="34">
        <f ca="1">'6'!M21</f>
        <v>82.7</v>
      </c>
      <c r="U10" s="36"/>
      <c r="V10" s="34">
        <f ca="1">'6'!M22</f>
        <v>83.75</v>
      </c>
      <c r="W10" s="36"/>
      <c r="X10" s="34">
        <f ca="1">'6'!M23</f>
        <v>74.55</v>
      </c>
      <c r="Y10" s="36"/>
      <c r="Z10" s="34">
        <f ca="1">'6'!M24</f>
        <v>82.75</v>
      </c>
      <c r="AA10" s="36"/>
      <c r="AB10" s="34"/>
      <c r="AC10" s="37"/>
      <c r="AD10" s="34" t="str">
        <f>IF($D10&lt;&gt;"", IF(AD$2&lt;&gt;"", SUM('Unidad 1'!AD10, 'Unidad 2'!AD10, 'Unidad 3'!AD10, 'Unidad 4'!AD10)/4, ""), "")</f>
        <v/>
      </c>
      <c r="AE10" s="36"/>
      <c r="AF10" s="34" t="str">
        <f>IF($D10&lt;&gt;"", IF(AF$2&lt;&gt;"", SUM('Unidad 1'!AF10, 'Unidad 2'!AF10, 'Unidad 3'!AF10, 'Unidad 4'!AF10)/4, ""), "")</f>
        <v/>
      </c>
      <c r="AG10" s="36"/>
      <c r="AH10" s="34" t="str">
        <f>IF($D10&lt;&gt;"", IF(AH$2&lt;&gt;"", SUM('Unidad 1'!AH10, 'Unidad 2'!AH10, 'Unidad 3'!AH10, 'Unidad 4'!AH10)/4, ""), "")</f>
        <v/>
      </c>
      <c r="AI10" s="36"/>
      <c r="AJ10" s="34" t="e">
        <f>SUM(('Unidad 1'!AJ10+#REF!+#REF!+#REF!)/4)</f>
        <v>#REF!</v>
      </c>
      <c r="AK10" s="36"/>
      <c r="AL10" s="18" t="str">
        <f t="shared" ca="1" si="0"/>
        <v>R</v>
      </c>
      <c r="AM10" s="2"/>
    </row>
    <row r="11" spans="1:39" ht="15" thickBot="1" x14ac:dyDescent="0.35">
      <c r="A11" s="2"/>
      <c r="B11" s="4">
        <v>7</v>
      </c>
      <c r="C11" s="2"/>
      <c r="D11" s="7" t="str">
        <f>IF('Datos Generales'!C50&lt;&gt;"", 'Datos Generales'!C50, "")</f>
        <v>Lopez Mazate, Angel Mauricio</v>
      </c>
      <c r="E11" s="2"/>
      <c r="F11" s="34">
        <f ca="1">'7'!M14</f>
        <v>67.287499999999994</v>
      </c>
      <c r="G11" s="36"/>
      <c r="H11" s="34">
        <f ca="1">'7'!M15</f>
        <v>66.849999999999994</v>
      </c>
      <c r="I11" s="36"/>
      <c r="J11" s="34">
        <f ca="1">'7'!M16</f>
        <v>62.849999999999994</v>
      </c>
      <c r="K11" s="36"/>
      <c r="L11" s="34">
        <f ca="1">'7'!M17</f>
        <v>74.650000000000006</v>
      </c>
      <c r="M11" s="36"/>
      <c r="N11" s="34">
        <f ca="1">'7'!M18</f>
        <v>70.2</v>
      </c>
      <c r="O11" s="36"/>
      <c r="P11" s="34">
        <f ca="1">'7'!M19</f>
        <v>74.45</v>
      </c>
      <c r="Q11" s="36"/>
      <c r="R11" s="34">
        <f ca="1">'7'!M20</f>
        <v>70.25</v>
      </c>
      <c r="S11" s="36"/>
      <c r="T11" s="34">
        <f ca="1">'7'!M21</f>
        <v>77.3</v>
      </c>
      <c r="U11" s="36"/>
      <c r="V11" s="34">
        <f ca="1">'7'!M22</f>
        <v>75</v>
      </c>
      <c r="W11" s="36"/>
      <c r="X11" s="34">
        <f ca="1">'7'!M23</f>
        <v>66.25</v>
      </c>
      <c r="Y11" s="36"/>
      <c r="Z11" s="34">
        <f ca="1">'7'!M24</f>
        <v>74.650000000000006</v>
      </c>
      <c r="AA11" s="36"/>
      <c r="AB11" s="34"/>
      <c r="AC11" s="37"/>
      <c r="AD11" s="34" t="str">
        <f>IF($D11&lt;&gt;"", IF(AD$2&lt;&gt;"", SUM('Unidad 1'!AD11, 'Unidad 2'!AD11, 'Unidad 3'!AD11, 'Unidad 4'!AD11)/4, ""), "")</f>
        <v/>
      </c>
      <c r="AE11" s="36"/>
      <c r="AF11" s="34" t="str">
        <f>IF($D11&lt;&gt;"", IF(AF$2&lt;&gt;"", SUM('Unidad 1'!AF11, 'Unidad 2'!AF11, 'Unidad 3'!AF11, 'Unidad 4'!AF11)/4, ""), "")</f>
        <v/>
      </c>
      <c r="AG11" s="36"/>
      <c r="AH11" s="34" t="str">
        <f>IF($D11&lt;&gt;"", IF(AH$2&lt;&gt;"", SUM('Unidad 1'!AH11, 'Unidad 2'!AH11, 'Unidad 3'!AH11, 'Unidad 4'!AH11)/4, ""), "")</f>
        <v/>
      </c>
      <c r="AI11" s="36"/>
      <c r="AJ11" s="34" t="e">
        <f>SUM(('Unidad 1'!AJ11+#REF!+#REF!+#REF!)/4)</f>
        <v>#REF!</v>
      </c>
      <c r="AK11" s="36"/>
      <c r="AL11" s="18" t="str">
        <f t="shared" ca="1" si="0"/>
        <v>R</v>
      </c>
      <c r="AM11" s="2"/>
    </row>
    <row r="12" spans="1:39" ht="15" thickBot="1" x14ac:dyDescent="0.35">
      <c r="A12" s="2"/>
      <c r="B12" s="4">
        <v>8</v>
      </c>
      <c r="C12" s="2"/>
      <c r="D12" s="7" t="str">
        <f>IF('Datos Generales'!C51&lt;&gt;"", 'Datos Generales'!C51, "")</f>
        <v>López Yol, Diego Josué</v>
      </c>
      <c r="E12" s="2"/>
      <c r="F12" s="34">
        <f ca="1">'8'!M14</f>
        <v>82.9</v>
      </c>
      <c r="G12" s="36"/>
      <c r="H12" s="34">
        <f ca="1">'8'!M15</f>
        <v>76.95</v>
      </c>
      <c r="I12" s="36"/>
      <c r="J12" s="34">
        <f ca="1">'8'!M16</f>
        <v>76.3</v>
      </c>
      <c r="K12" s="36"/>
      <c r="L12" s="34">
        <f ca="1">'8'!M17</f>
        <v>87.65</v>
      </c>
      <c r="M12" s="36"/>
      <c r="N12" s="34">
        <f ca="1">'8'!M18</f>
        <v>67.75</v>
      </c>
      <c r="O12" s="36"/>
      <c r="P12" s="34">
        <f ca="1">'8'!M19</f>
        <v>71.949999999999989</v>
      </c>
      <c r="Q12" s="36"/>
      <c r="R12" s="34">
        <f ca="1">'8'!M20</f>
        <v>78.000000000000014</v>
      </c>
      <c r="S12" s="36"/>
      <c r="T12" s="34">
        <f ca="1">'8'!M21</f>
        <v>78.3</v>
      </c>
      <c r="U12" s="36"/>
      <c r="V12" s="34">
        <f ca="1">'8'!M22</f>
        <v>78</v>
      </c>
      <c r="W12" s="36"/>
      <c r="X12" s="34">
        <f ca="1">'8'!M23</f>
        <v>72.900000000000006</v>
      </c>
      <c r="Y12" s="36"/>
      <c r="Z12" s="34">
        <f ca="1">'8'!M24</f>
        <v>86.5</v>
      </c>
      <c r="AA12" s="36"/>
      <c r="AB12" s="34"/>
      <c r="AC12" s="37"/>
      <c r="AD12" s="34" t="str">
        <f>IF($D12&lt;&gt;"", IF(AD$2&lt;&gt;"", SUM('Unidad 1'!AD12, 'Unidad 2'!AD12, 'Unidad 3'!AD12, 'Unidad 4'!AD12)/4, ""), "")</f>
        <v/>
      </c>
      <c r="AE12" s="36"/>
      <c r="AF12" s="34" t="str">
        <f>IF($D12&lt;&gt;"", IF(AF$2&lt;&gt;"", SUM('Unidad 1'!AF12, 'Unidad 2'!AF12, 'Unidad 3'!AF12, 'Unidad 4'!AF12)/4, ""), "")</f>
        <v/>
      </c>
      <c r="AG12" s="36"/>
      <c r="AH12" s="34" t="str">
        <f>IF($D12&lt;&gt;"", IF(AH$2&lt;&gt;"", SUM('Unidad 1'!AH12, 'Unidad 2'!AH12, 'Unidad 3'!AH12, 'Unidad 4'!AH12)/4, ""), "")</f>
        <v/>
      </c>
      <c r="AI12" s="36"/>
      <c r="AJ12" s="34" t="e">
        <f>SUM(('Unidad 1'!AJ12+#REF!+#REF!+#REF!)/4)</f>
        <v>#REF!</v>
      </c>
      <c r="AK12" s="36"/>
      <c r="AL12" s="18" t="str">
        <f t="shared" ca="1" si="0"/>
        <v>R</v>
      </c>
      <c r="AM12" s="2"/>
    </row>
    <row r="13" spans="1:39" ht="15" thickBot="1" x14ac:dyDescent="0.35">
      <c r="A13" s="2"/>
      <c r="B13" s="4">
        <v>9</v>
      </c>
      <c r="C13" s="2"/>
      <c r="D13" s="7" t="str">
        <f>IF('Datos Generales'!C52&lt;&gt;"", 'Datos Generales'!C52, "")</f>
        <v>Luca Simaj, Maria Fernanda</v>
      </c>
      <c r="E13" s="2"/>
      <c r="F13" s="34">
        <f ca="1">'9'!M14</f>
        <v>76.349999999999994</v>
      </c>
      <c r="G13" s="36"/>
      <c r="H13" s="34">
        <f ca="1">'9'!M15</f>
        <v>73.55</v>
      </c>
      <c r="I13" s="36"/>
      <c r="J13" s="34">
        <f ca="1">'9'!M16</f>
        <v>73.649999999999991</v>
      </c>
      <c r="K13" s="36"/>
      <c r="L13" s="34">
        <f ca="1">'9'!M17</f>
        <v>74.75</v>
      </c>
      <c r="M13" s="36"/>
      <c r="N13" s="34">
        <f ca="1">'9'!M18</f>
        <v>84.5</v>
      </c>
      <c r="O13" s="36"/>
      <c r="P13" s="34">
        <f ca="1">'9'!M19</f>
        <v>87.65</v>
      </c>
      <c r="Q13" s="36"/>
      <c r="R13" s="34">
        <f ca="1">'9'!M20</f>
        <v>81.349999999999994</v>
      </c>
      <c r="S13" s="36"/>
      <c r="T13" s="34">
        <f ca="1">'9'!M21</f>
        <v>82.45</v>
      </c>
      <c r="U13" s="36"/>
      <c r="V13" s="34">
        <f ca="1">'9'!M22</f>
        <v>80</v>
      </c>
      <c r="W13" s="36"/>
      <c r="X13" s="34">
        <f ca="1">'9'!M23</f>
        <v>87.95</v>
      </c>
      <c r="Y13" s="36"/>
      <c r="Z13" s="34">
        <f ca="1">'9'!M24</f>
        <v>73</v>
      </c>
      <c r="AA13" s="36"/>
      <c r="AB13" s="34"/>
      <c r="AC13" s="37"/>
      <c r="AD13" s="34" t="str">
        <f>IF($D13&lt;&gt;"", IF(AD$2&lt;&gt;"", SUM('Unidad 1'!AD13, 'Unidad 2'!AD13, 'Unidad 3'!AD13, 'Unidad 4'!AD13)/4, ""), "")</f>
        <v/>
      </c>
      <c r="AE13" s="36"/>
      <c r="AF13" s="34" t="str">
        <f>IF($D13&lt;&gt;"", IF(AF$2&lt;&gt;"", SUM('Unidad 1'!AF13, 'Unidad 2'!AF13, 'Unidad 3'!AF13, 'Unidad 4'!AF13)/4, ""), "")</f>
        <v/>
      </c>
      <c r="AG13" s="36"/>
      <c r="AH13" s="34" t="str">
        <f>IF($D13&lt;&gt;"", IF(AH$2&lt;&gt;"", SUM('Unidad 1'!AH13, 'Unidad 2'!AH13, 'Unidad 3'!AH13, 'Unidad 4'!AH13)/4, ""), "")</f>
        <v/>
      </c>
      <c r="AI13" s="36"/>
      <c r="AJ13" s="34" t="e">
        <f>SUM(('Unidad 1'!AJ13+#REF!+#REF!+#REF!)/4)</f>
        <v>#REF!</v>
      </c>
      <c r="AK13" s="36"/>
      <c r="AL13" s="18" t="str">
        <f t="shared" ca="1" si="0"/>
        <v>R</v>
      </c>
      <c r="AM13" s="2"/>
    </row>
    <row r="14" spans="1:39" ht="15" thickBot="1" x14ac:dyDescent="0.35">
      <c r="A14" s="2"/>
      <c r="B14" s="4">
        <v>10</v>
      </c>
      <c r="C14" s="2"/>
      <c r="D14" s="7" t="str">
        <f>IF('Datos Generales'!C53&lt;&gt;"", 'Datos Generales'!C53, "")</f>
        <v>Marroquín Carcúz, Deyuli Mayerli</v>
      </c>
      <c r="E14" s="2"/>
      <c r="F14" s="34">
        <f ca="1">'10'!M14</f>
        <v>94.3</v>
      </c>
      <c r="G14" s="36"/>
      <c r="H14" s="34">
        <f ca="1">'10'!M15</f>
        <v>94.35</v>
      </c>
      <c r="I14" s="36"/>
      <c r="J14" s="101">
        <f ca="1">'10'!M16</f>
        <v>93.949999999999989</v>
      </c>
      <c r="K14" s="36"/>
      <c r="L14" s="101">
        <f ca="1">'10'!M17</f>
        <v>88.850000000000009</v>
      </c>
      <c r="M14" s="36"/>
      <c r="N14" s="101">
        <f ca="1">'10'!M18</f>
        <v>91.6</v>
      </c>
      <c r="O14" s="36"/>
      <c r="P14" s="34">
        <f ca="1">'10'!M19</f>
        <v>95.149999999999991</v>
      </c>
      <c r="Q14" s="36"/>
      <c r="R14" s="34">
        <f ca="1">'10'!M20</f>
        <v>92.75</v>
      </c>
      <c r="S14" s="36"/>
      <c r="T14" s="101">
        <f ca="1">'10'!M21</f>
        <v>98.6</v>
      </c>
      <c r="U14" s="36"/>
      <c r="V14" s="34">
        <f ca="1">'10'!M22</f>
        <v>94.149999999999991</v>
      </c>
      <c r="W14" s="36"/>
      <c r="X14" s="34">
        <f ca="1">'10'!M23</f>
        <v>94.75</v>
      </c>
      <c r="Y14" s="36"/>
      <c r="Z14" s="34">
        <f ca="1">'10'!M24</f>
        <v>93.149999999999991</v>
      </c>
      <c r="AA14" s="36"/>
      <c r="AB14" s="34"/>
      <c r="AC14" s="37"/>
      <c r="AD14" s="34" t="str">
        <f>IF($D14&lt;&gt;"", IF(AD$2&lt;&gt;"", SUM('Unidad 1'!AD14, 'Unidad 2'!AD14, 'Unidad 3'!AD14, 'Unidad 4'!AD14)/4, ""), "")</f>
        <v/>
      </c>
      <c r="AE14" s="36"/>
      <c r="AF14" s="34" t="str">
        <f>IF($D14&lt;&gt;"", IF(AF$2&lt;&gt;"", SUM('Unidad 1'!AF14, 'Unidad 2'!AF14, 'Unidad 3'!AF14, 'Unidad 4'!AF14)/4, ""), "")</f>
        <v/>
      </c>
      <c r="AG14" s="36"/>
      <c r="AH14" s="34" t="str">
        <f>IF($D14&lt;&gt;"", IF(AH$2&lt;&gt;"", SUM('Unidad 1'!AH14, 'Unidad 2'!AH14, 'Unidad 3'!AH14, 'Unidad 4'!AH14)/4, ""), "")</f>
        <v/>
      </c>
      <c r="AI14" s="36"/>
      <c r="AJ14" s="34" t="e">
        <f>SUM(('Unidad 1'!AJ14+#REF!+#REF!+#REF!)/4)</f>
        <v>#REF!</v>
      </c>
      <c r="AK14" s="36"/>
      <c r="AL14" s="18" t="str">
        <f t="shared" ca="1" si="0"/>
        <v>R</v>
      </c>
      <c r="AM14" s="2"/>
    </row>
    <row r="15" spans="1:39" ht="15" thickBot="1" x14ac:dyDescent="0.35">
      <c r="A15" s="2"/>
      <c r="B15" s="4">
        <v>11</v>
      </c>
      <c r="C15" s="2"/>
      <c r="D15" s="7" t="str">
        <f>IF('Datos Generales'!C54&lt;&gt;"", 'Datos Generales'!C54, "")</f>
        <v>Marroquín Larios, Yasmín Monserrat</v>
      </c>
      <c r="E15" s="2"/>
      <c r="F15" s="34">
        <f ca="1">'11'!M14</f>
        <v>75.05</v>
      </c>
      <c r="G15" s="36"/>
      <c r="H15" s="34">
        <f ca="1">'11'!M15</f>
        <v>72.25</v>
      </c>
      <c r="I15" s="36"/>
      <c r="J15" s="34">
        <f ca="1">'11'!M16</f>
        <v>72.95</v>
      </c>
      <c r="K15" s="36"/>
      <c r="L15" s="34">
        <f ca="1">'11'!M17</f>
        <v>80.55</v>
      </c>
      <c r="M15" s="36"/>
      <c r="N15" s="34">
        <f ca="1">'11'!M18</f>
        <v>70.45</v>
      </c>
      <c r="O15" s="36"/>
      <c r="P15" s="34">
        <f ca="1">'11'!M19</f>
        <v>67.599999999999994</v>
      </c>
      <c r="Q15" s="36"/>
      <c r="R15" s="34">
        <f ca="1">'11'!M20</f>
        <v>91.7</v>
      </c>
      <c r="S15" s="36"/>
      <c r="T15" s="34">
        <f ca="1">'11'!M21</f>
        <v>89.2</v>
      </c>
      <c r="U15" s="36"/>
      <c r="V15" s="34">
        <f ca="1">'11'!M22</f>
        <v>87</v>
      </c>
      <c r="W15" s="36"/>
      <c r="X15" s="34">
        <f ca="1">'11'!M23</f>
        <v>65.95</v>
      </c>
      <c r="Y15" s="36"/>
      <c r="Z15" s="34">
        <f ca="1">'11'!M24</f>
        <v>85.25</v>
      </c>
      <c r="AA15" s="36"/>
      <c r="AB15" s="34"/>
      <c r="AC15" s="37"/>
      <c r="AD15" s="34" t="str">
        <f>IF($D15&lt;&gt;"", IF(AD$2&lt;&gt;"", SUM('Unidad 1'!AD15, 'Unidad 2'!AD15, 'Unidad 3'!AD15, 'Unidad 4'!AD15)/4, ""), "")</f>
        <v/>
      </c>
      <c r="AE15" s="36"/>
      <c r="AF15" s="34" t="str">
        <f>IF($D15&lt;&gt;"", IF(AF$2&lt;&gt;"", SUM('Unidad 1'!AF15, 'Unidad 2'!AF15, 'Unidad 3'!AF15, 'Unidad 4'!AF15)/4, ""), "")</f>
        <v/>
      </c>
      <c r="AG15" s="36"/>
      <c r="AH15" s="34" t="str">
        <f>IF($D15&lt;&gt;"", IF(AH$2&lt;&gt;"", SUM('Unidad 1'!AH15, 'Unidad 2'!AH15, 'Unidad 3'!AH15, 'Unidad 4'!AH15)/4, ""), "")</f>
        <v/>
      </c>
      <c r="AI15" s="36"/>
      <c r="AJ15" s="34" t="e">
        <f>SUM(('Unidad 1'!AJ15+#REF!+#REF!+#REF!)/4)</f>
        <v>#REF!</v>
      </c>
      <c r="AK15" s="36"/>
      <c r="AL15" s="18" t="str">
        <f t="shared" ca="1" si="0"/>
        <v>R</v>
      </c>
      <c r="AM15" s="2"/>
    </row>
    <row r="16" spans="1:39" ht="15" thickBot="1" x14ac:dyDescent="0.35">
      <c r="A16" s="2"/>
      <c r="B16" s="4">
        <v>12</v>
      </c>
      <c r="C16" s="2"/>
      <c r="D16" s="7" t="str">
        <f>IF('Datos Generales'!C55&lt;&gt;"", 'Datos Generales'!C55, "")</f>
        <v>Marroquín Ramírez, Nilton Alexis</v>
      </c>
      <c r="E16" s="2"/>
      <c r="F16" s="34">
        <f ca="1">'12'!M14</f>
        <v>79.2</v>
      </c>
      <c r="G16" s="36"/>
      <c r="H16" s="34">
        <f ca="1">'12'!M15</f>
        <v>79.900000000000006</v>
      </c>
      <c r="I16" s="36"/>
      <c r="J16" s="34">
        <f ca="1">'12'!M16</f>
        <v>77.399999999999991</v>
      </c>
      <c r="K16" s="36"/>
      <c r="L16" s="34">
        <f ca="1">'12'!M17</f>
        <v>73.45</v>
      </c>
      <c r="M16" s="36"/>
      <c r="N16" s="34">
        <f ca="1">'12'!M18</f>
        <v>75.7</v>
      </c>
      <c r="O16" s="36"/>
      <c r="P16" s="34">
        <f ca="1">'12'!M19</f>
        <v>70.650000000000006</v>
      </c>
      <c r="Q16" s="36"/>
      <c r="R16" s="34">
        <f ca="1">'12'!M20</f>
        <v>79.5</v>
      </c>
      <c r="S16" s="36"/>
      <c r="T16" s="34">
        <f ca="1">'12'!M21</f>
        <v>88.95</v>
      </c>
      <c r="U16" s="36"/>
      <c r="V16" s="34">
        <f ca="1">'12'!M22</f>
        <v>72</v>
      </c>
      <c r="W16" s="36"/>
      <c r="X16" s="34">
        <f ca="1">'12'!M23</f>
        <v>88.25</v>
      </c>
      <c r="Y16" s="36"/>
      <c r="Z16" s="34">
        <f ca="1">'12'!M24</f>
        <v>82</v>
      </c>
      <c r="AA16" s="36"/>
      <c r="AB16" s="34"/>
      <c r="AC16" s="37"/>
      <c r="AD16" s="34" t="str">
        <f>IF($D16&lt;&gt;"", IF(AD$2&lt;&gt;"", SUM('Unidad 1'!AD16, 'Unidad 2'!AD16, 'Unidad 3'!AD16, 'Unidad 4'!AD16)/4, ""), "")</f>
        <v/>
      </c>
      <c r="AE16" s="36"/>
      <c r="AF16" s="34" t="str">
        <f>IF($D16&lt;&gt;"", IF(AF$2&lt;&gt;"", SUM('Unidad 1'!AF16, 'Unidad 2'!AF16, 'Unidad 3'!AF16, 'Unidad 4'!AF16)/4, ""), "")</f>
        <v/>
      </c>
      <c r="AG16" s="36"/>
      <c r="AH16" s="34" t="str">
        <f>IF($D16&lt;&gt;"", IF(AH$2&lt;&gt;"", SUM('Unidad 1'!AH16, 'Unidad 2'!AH16, 'Unidad 3'!AH16, 'Unidad 4'!AH16)/4, ""), "")</f>
        <v/>
      </c>
      <c r="AI16" s="36"/>
      <c r="AJ16" s="34" t="e">
        <f>SUM(('Unidad 1'!AJ16+#REF!+#REF!+#REF!)/4)</f>
        <v>#REF!</v>
      </c>
      <c r="AK16" s="36"/>
      <c r="AL16" s="18" t="str">
        <f t="shared" ca="1" si="0"/>
        <v>R</v>
      </c>
      <c r="AM16" s="2"/>
    </row>
    <row r="17" spans="1:39" ht="15" thickBot="1" x14ac:dyDescent="0.35">
      <c r="A17" s="2"/>
      <c r="B17" s="4">
        <v>13</v>
      </c>
      <c r="C17" s="2"/>
      <c r="D17" s="7" t="str">
        <f>IF('Datos Generales'!C56&lt;&gt;"", 'Datos Generales'!C56, "")</f>
        <v>Martínez Cuyún, María Inés</v>
      </c>
      <c r="E17" s="2"/>
      <c r="F17" s="34">
        <f ca="1">'13'!M14</f>
        <v>88.55</v>
      </c>
      <c r="G17" s="36"/>
      <c r="H17" s="34">
        <f ca="1">'13'!M15</f>
        <v>85.05</v>
      </c>
      <c r="I17" s="36"/>
      <c r="J17" s="34">
        <f ca="1">'13'!M16</f>
        <v>71.8</v>
      </c>
      <c r="K17" s="36"/>
      <c r="L17" s="34">
        <f ca="1">'13'!M17</f>
        <v>70.25</v>
      </c>
      <c r="M17" s="36"/>
      <c r="N17" s="34">
        <v>55</v>
      </c>
      <c r="O17" s="36"/>
      <c r="P17" s="34">
        <f ca="1">'13'!M19</f>
        <v>63.599999999999994</v>
      </c>
      <c r="Q17" s="36"/>
      <c r="R17" s="34">
        <f ca="1">'13'!M20</f>
        <v>85.1</v>
      </c>
      <c r="S17" s="36"/>
      <c r="T17" s="34">
        <f ca="1">'13'!M21</f>
        <v>83</v>
      </c>
      <c r="U17" s="36"/>
      <c r="V17" s="34">
        <f ca="1">'13'!M22</f>
        <v>86</v>
      </c>
      <c r="W17" s="36"/>
      <c r="X17" s="34">
        <f ca="1">'13'!M23</f>
        <v>70.8</v>
      </c>
      <c r="Y17" s="36"/>
      <c r="Z17" s="34">
        <f ca="1">'13'!M24</f>
        <v>81.5</v>
      </c>
      <c r="AA17" s="36"/>
      <c r="AB17" s="34"/>
      <c r="AC17" s="37"/>
      <c r="AD17" s="34" t="str">
        <f>IF($D17&lt;&gt;"", IF(AD$2&lt;&gt;"", SUM('Unidad 1'!AD17, 'Unidad 2'!AD17, 'Unidad 3'!AD17, 'Unidad 4'!AD17)/4, ""), "")</f>
        <v/>
      </c>
      <c r="AE17" s="36"/>
      <c r="AF17" s="34" t="str">
        <f>IF($D17&lt;&gt;"", IF(AF$2&lt;&gt;"", SUM('Unidad 1'!AF17, 'Unidad 2'!AF17, 'Unidad 3'!AF17, 'Unidad 4'!AF17)/4, ""), "")</f>
        <v/>
      </c>
      <c r="AG17" s="36"/>
      <c r="AH17" s="34" t="str">
        <f>IF($D17&lt;&gt;"", IF(AH$2&lt;&gt;"", SUM('Unidad 1'!AH17, 'Unidad 2'!AH17, 'Unidad 3'!AH17, 'Unidad 4'!AH17)/4, ""), "")</f>
        <v/>
      </c>
      <c r="AI17" s="36"/>
      <c r="AJ17" s="34" t="e">
        <f>SUM(('Unidad 1'!AJ17+#REF!+#REF!+#REF!)/4)</f>
        <v>#REF!</v>
      </c>
      <c r="AK17" s="36"/>
      <c r="AL17" s="18" t="str">
        <f t="shared" ca="1" si="0"/>
        <v>R</v>
      </c>
      <c r="AM17" s="2"/>
    </row>
    <row r="18" spans="1:39" ht="15" thickBot="1" x14ac:dyDescent="0.35">
      <c r="A18" s="2"/>
      <c r="B18" s="4">
        <v>14</v>
      </c>
      <c r="C18" s="2"/>
      <c r="D18" s="7" t="str">
        <f>IF('Datos Generales'!C57&lt;&gt;"", 'Datos Generales'!C57, "")</f>
        <v>Mendoza Romero, José Fernando</v>
      </c>
      <c r="E18" s="2"/>
      <c r="F18" s="34">
        <f ca="1">'14'!M14</f>
        <v>78.95</v>
      </c>
      <c r="G18" s="36"/>
      <c r="H18" s="34">
        <f ca="1">'14'!M15</f>
        <v>74.05</v>
      </c>
      <c r="I18" s="36"/>
      <c r="J18" s="34">
        <f ca="1">'14'!M16</f>
        <v>69.8</v>
      </c>
      <c r="K18" s="36"/>
      <c r="L18" s="34">
        <f ca="1">'14'!M17</f>
        <v>90.550000000000011</v>
      </c>
      <c r="M18" s="36"/>
      <c r="N18" s="34">
        <f ca="1">'14'!M18</f>
        <v>70.5</v>
      </c>
      <c r="O18" s="36"/>
      <c r="P18" s="34">
        <f ca="1">'14'!M19</f>
        <v>67.949999999999989</v>
      </c>
      <c r="Q18" s="36"/>
      <c r="R18" s="34">
        <f ca="1">'14'!M20</f>
        <v>79.100000000000009</v>
      </c>
      <c r="S18" s="36"/>
      <c r="T18" s="34">
        <f ca="1">'14'!M21</f>
        <v>81.400000000000006</v>
      </c>
      <c r="U18" s="36"/>
      <c r="V18" s="34">
        <f ca="1">'14'!M22</f>
        <v>65</v>
      </c>
      <c r="W18" s="36"/>
      <c r="X18" s="34">
        <f ca="1">'14'!M23</f>
        <v>77.849999999999994</v>
      </c>
      <c r="Y18" s="36"/>
      <c r="Z18" s="34">
        <f ca="1">'14'!M24</f>
        <v>86.5</v>
      </c>
      <c r="AA18" s="36"/>
      <c r="AB18" s="34"/>
      <c r="AC18" s="37"/>
      <c r="AD18" s="34" t="str">
        <f>IF($D18&lt;&gt;"", IF(AD$2&lt;&gt;"", SUM('Unidad 1'!AD18, 'Unidad 2'!AD18, 'Unidad 3'!AD18, 'Unidad 4'!AD18)/4, ""), "")</f>
        <v/>
      </c>
      <c r="AE18" s="36"/>
      <c r="AF18" s="34" t="str">
        <f>IF($D18&lt;&gt;"", IF(AF$2&lt;&gt;"", SUM('Unidad 1'!AF18, 'Unidad 2'!AF18, 'Unidad 3'!AF18, 'Unidad 4'!AF18)/4, ""), "")</f>
        <v/>
      </c>
      <c r="AG18" s="36"/>
      <c r="AH18" s="34" t="str">
        <f>IF($D18&lt;&gt;"", IF(AH$2&lt;&gt;"", SUM('Unidad 1'!AH18, 'Unidad 2'!AH18, 'Unidad 3'!AH18, 'Unidad 4'!AH18)/4, ""), "")</f>
        <v/>
      </c>
      <c r="AI18" s="36"/>
      <c r="AJ18" s="34" t="e">
        <f>SUM(('Unidad 1'!AJ18+#REF!+#REF!+#REF!)/4)</f>
        <v>#REF!</v>
      </c>
      <c r="AK18" s="36"/>
      <c r="AL18" s="18" t="str">
        <f t="shared" ca="1" si="0"/>
        <v>R</v>
      </c>
      <c r="AM18" s="2"/>
    </row>
    <row r="19" spans="1:39" ht="15" thickBot="1" x14ac:dyDescent="0.35">
      <c r="A19" s="2"/>
      <c r="B19" s="4">
        <v>15</v>
      </c>
      <c r="C19" s="2"/>
      <c r="D19" s="7" t="str">
        <f>IF('Datos Generales'!C58&lt;&gt;"", 'Datos Generales'!C58, "")</f>
        <v>Moctezuma Orenos, Kimberly Gabriela</v>
      </c>
      <c r="E19" s="2"/>
      <c r="F19" s="34">
        <f ca="1">'15'!M14</f>
        <v>75.150000000000006</v>
      </c>
      <c r="G19" s="36"/>
      <c r="H19" s="34">
        <f ca="1">'15'!M15</f>
        <v>52.75</v>
      </c>
      <c r="I19" s="36"/>
      <c r="J19" s="34">
        <f ca="1">'15'!M16</f>
        <v>61.95</v>
      </c>
      <c r="K19" s="36"/>
      <c r="L19" s="34">
        <f ca="1">'15'!M17</f>
        <v>60.1</v>
      </c>
      <c r="M19" s="36"/>
      <c r="N19" s="34">
        <f ca="1">'15'!M18</f>
        <v>51.150000000000006</v>
      </c>
      <c r="O19" s="36"/>
      <c r="P19" s="34">
        <v>60</v>
      </c>
      <c r="Q19" s="36"/>
      <c r="R19" s="34">
        <f ca="1">'15'!M20</f>
        <v>62.3</v>
      </c>
      <c r="S19" s="36"/>
      <c r="T19" s="34">
        <f ca="1">'15'!M21</f>
        <v>73.05</v>
      </c>
      <c r="U19" s="36"/>
      <c r="V19" s="34">
        <f ca="1">'15'!M22</f>
        <v>80</v>
      </c>
      <c r="W19" s="36"/>
      <c r="X19" s="34">
        <f ca="1">'15'!M23</f>
        <v>58.050000000000004</v>
      </c>
      <c r="Y19" s="36"/>
      <c r="Z19" s="34">
        <f ca="1">'15'!M24</f>
        <v>65.599999999999994</v>
      </c>
      <c r="AA19" s="36"/>
      <c r="AB19" s="34"/>
      <c r="AC19" s="37"/>
      <c r="AD19" s="34" t="str">
        <f>IF($D19&lt;&gt;"", IF(AD$2&lt;&gt;"", SUM('Unidad 1'!AD19, 'Unidad 2'!AD19, 'Unidad 3'!AD19, 'Unidad 4'!AD19)/4, ""), "")</f>
        <v/>
      </c>
      <c r="AE19" s="36"/>
      <c r="AF19" s="34" t="str">
        <f>IF($D19&lt;&gt;"", IF(AF$2&lt;&gt;"", SUM('Unidad 1'!AF19, 'Unidad 2'!AF19, 'Unidad 3'!AF19, 'Unidad 4'!AF19)/4, ""), "")</f>
        <v/>
      </c>
      <c r="AG19" s="36"/>
      <c r="AH19" s="34" t="str">
        <f>IF($D19&lt;&gt;"", IF(AH$2&lt;&gt;"", SUM('Unidad 1'!AH19, 'Unidad 2'!AH19, 'Unidad 3'!AH19, 'Unidad 4'!AH19)/4, ""), "")</f>
        <v/>
      </c>
      <c r="AI19" s="36"/>
      <c r="AJ19" s="34" t="e">
        <f>SUM(('Unidad 1'!AJ19+#REF!+#REF!+#REF!)/4)</f>
        <v>#REF!</v>
      </c>
      <c r="AK19" s="36"/>
      <c r="AL19" s="18" t="str">
        <f t="shared" ca="1" si="0"/>
        <v>R</v>
      </c>
      <c r="AM19" s="2"/>
    </row>
    <row r="20" spans="1:39" ht="15" thickBot="1" x14ac:dyDescent="0.35">
      <c r="A20" s="2"/>
      <c r="B20" s="4">
        <v>16</v>
      </c>
      <c r="C20" s="2"/>
      <c r="D20" s="7" t="str">
        <f>IF('Datos Generales'!C59&lt;&gt;"", 'Datos Generales'!C59, "")</f>
        <v>Oliva Romero, Jeremy Guillermo Santiago</v>
      </c>
      <c r="E20" s="2"/>
      <c r="F20" s="34">
        <f ca="1">'16'!M14</f>
        <v>93.5</v>
      </c>
      <c r="G20" s="36"/>
      <c r="H20" s="34">
        <f ca="1">'16'!M15</f>
        <v>88.95</v>
      </c>
      <c r="I20" s="36"/>
      <c r="J20" s="34">
        <f ca="1">'16'!M16</f>
        <v>89.249999999999986</v>
      </c>
      <c r="K20" s="36"/>
      <c r="L20" s="34">
        <f ca="1">'16'!M17</f>
        <v>97.1</v>
      </c>
      <c r="M20" s="36"/>
      <c r="N20" s="34">
        <f ca="1">'16'!M18</f>
        <v>79.75</v>
      </c>
      <c r="O20" s="36"/>
      <c r="P20" s="34">
        <f ca="1">'16'!M19</f>
        <v>78.55</v>
      </c>
      <c r="Q20" s="36"/>
      <c r="R20" s="34">
        <f ca="1">'16'!M20</f>
        <v>92.449999999999989</v>
      </c>
      <c r="S20" s="36"/>
      <c r="T20" s="34">
        <f ca="1">'16'!M21</f>
        <v>89.35</v>
      </c>
      <c r="U20" s="36"/>
      <c r="V20" s="34">
        <f ca="1">'16'!M22</f>
        <v>93</v>
      </c>
      <c r="W20" s="36"/>
      <c r="X20" s="34">
        <f ca="1">'16'!M23</f>
        <v>59.5</v>
      </c>
      <c r="Y20" s="36"/>
      <c r="Z20" s="34">
        <f ca="1">'16'!M24</f>
        <v>99</v>
      </c>
      <c r="AA20" s="36"/>
      <c r="AB20" s="34"/>
      <c r="AC20" s="37"/>
      <c r="AD20" s="34" t="str">
        <f>IF($D20&lt;&gt;"", IF(AD$2&lt;&gt;"", SUM('Unidad 1'!AD20, 'Unidad 2'!AD20, 'Unidad 3'!AD20, 'Unidad 4'!AD20)/4, ""), "")</f>
        <v/>
      </c>
      <c r="AE20" s="36"/>
      <c r="AF20" s="34" t="str">
        <f>IF($D20&lt;&gt;"", IF(AF$2&lt;&gt;"", SUM('Unidad 1'!AF20, 'Unidad 2'!AF20, 'Unidad 3'!AF20, 'Unidad 4'!AF20)/4, ""), "")</f>
        <v/>
      </c>
      <c r="AG20" s="36"/>
      <c r="AH20" s="34" t="str">
        <f>IF($D20&lt;&gt;"", IF(AH$2&lt;&gt;"", SUM('Unidad 1'!AH20, 'Unidad 2'!AH20, 'Unidad 3'!AH20, 'Unidad 4'!AH20)/4, ""), "")</f>
        <v/>
      </c>
      <c r="AI20" s="36"/>
      <c r="AJ20" s="34" t="e">
        <f>SUM(('Unidad 1'!AJ20+#REF!+#REF!+#REF!)/4)</f>
        <v>#REF!</v>
      </c>
      <c r="AK20" s="36"/>
      <c r="AL20" s="18" t="str">
        <f t="shared" ca="1" si="0"/>
        <v>R</v>
      </c>
      <c r="AM20" s="2"/>
    </row>
    <row r="21" spans="1:39" ht="15" thickBot="1" x14ac:dyDescent="0.35">
      <c r="A21" s="2"/>
      <c r="B21" s="4">
        <v>17</v>
      </c>
      <c r="C21" s="2"/>
      <c r="D21" s="7" t="str">
        <f>IF('Datos Generales'!C60&lt;&gt;"", 'Datos Generales'!C60, "")</f>
        <v>Pérez Días, Britany Xiomara</v>
      </c>
      <c r="E21" s="2"/>
      <c r="F21" s="34">
        <f ca="1">'17'!M14</f>
        <v>88.55</v>
      </c>
      <c r="G21" s="36"/>
      <c r="H21" s="34">
        <f ca="1">'17'!M15</f>
        <v>87.149999999999991</v>
      </c>
      <c r="I21" s="36"/>
      <c r="J21" s="34">
        <f ca="1">'17'!M16</f>
        <v>90.55</v>
      </c>
      <c r="K21" s="36"/>
      <c r="L21" s="34">
        <f ca="1">'17'!M17</f>
        <v>80.099999999999994</v>
      </c>
      <c r="M21" s="36"/>
      <c r="N21" s="34">
        <f ca="1">'17'!M18</f>
        <v>82.3</v>
      </c>
      <c r="O21" s="36"/>
      <c r="P21" s="34">
        <f ca="1">'17'!M19</f>
        <v>75.399999999999991</v>
      </c>
      <c r="Q21" s="36"/>
      <c r="R21" s="34">
        <f ca="1">'17'!M20</f>
        <v>87.999999999999986</v>
      </c>
      <c r="S21" s="36"/>
      <c r="T21" s="34">
        <f ca="1">'17'!M21</f>
        <v>95.7</v>
      </c>
      <c r="U21" s="36"/>
      <c r="V21" s="34">
        <f ca="1">'17'!M22</f>
        <v>87</v>
      </c>
      <c r="W21" s="36"/>
      <c r="X21" s="34">
        <f ca="1">'17'!M23</f>
        <v>85.95</v>
      </c>
      <c r="Y21" s="36"/>
      <c r="Z21" s="34">
        <f ca="1">'17'!M24</f>
        <v>82</v>
      </c>
      <c r="AA21" s="36"/>
      <c r="AB21" s="34"/>
      <c r="AC21" s="37"/>
      <c r="AD21" s="34" t="str">
        <f>IF($D21&lt;&gt;"", IF(AD$2&lt;&gt;"", SUM('Unidad 1'!AD21, 'Unidad 2'!AD21, 'Unidad 3'!AD21, 'Unidad 4'!AD21)/4, ""), "")</f>
        <v/>
      </c>
      <c r="AE21" s="36"/>
      <c r="AF21" s="34" t="str">
        <f>IF($D21&lt;&gt;"", IF(AF$2&lt;&gt;"", SUM('Unidad 1'!AF21, 'Unidad 2'!AF21, 'Unidad 3'!AF21, 'Unidad 4'!AF21)/4, ""), "")</f>
        <v/>
      </c>
      <c r="AG21" s="36"/>
      <c r="AH21" s="34" t="str">
        <f>IF($D21&lt;&gt;"", IF(AH$2&lt;&gt;"", SUM('Unidad 1'!AH21, 'Unidad 2'!AH21, 'Unidad 3'!AH21, 'Unidad 4'!AH21)/4, ""), "")</f>
        <v/>
      </c>
      <c r="AI21" s="36"/>
      <c r="AJ21" s="34" t="e">
        <f>SUM(('Unidad 1'!AJ21+#REF!+#REF!+#REF!)/4)</f>
        <v>#REF!</v>
      </c>
      <c r="AK21" s="36"/>
      <c r="AL21" s="18" t="str">
        <f t="shared" ca="1" si="0"/>
        <v>R</v>
      </c>
      <c r="AM21" s="2"/>
    </row>
    <row r="22" spans="1:39" ht="15" thickBot="1" x14ac:dyDescent="0.35">
      <c r="A22" s="2"/>
      <c r="B22" s="4">
        <v>18</v>
      </c>
      <c r="C22" s="2"/>
      <c r="D22" s="7" t="str">
        <f>IF('Datos Generales'!C61&lt;&gt;"", 'Datos Generales'!C61, "")</f>
        <v>Pérez Quiñonez, Jonatan Ivan</v>
      </c>
      <c r="E22" s="2"/>
      <c r="F22" s="34">
        <f ca="1">'18'!M14</f>
        <v>72</v>
      </c>
      <c r="G22" s="36"/>
      <c r="H22" s="34">
        <f ca="1">'18'!M15</f>
        <v>70.949999999999989</v>
      </c>
      <c r="I22" s="36"/>
      <c r="J22" s="34">
        <f ca="1">'18'!M16</f>
        <v>69.5</v>
      </c>
      <c r="K22" s="36"/>
      <c r="L22" s="34">
        <f ca="1">'18'!M17</f>
        <v>69.2</v>
      </c>
      <c r="M22" s="36"/>
      <c r="N22" s="34">
        <f ca="1">'18'!M18</f>
        <v>69.5</v>
      </c>
      <c r="O22" s="36"/>
      <c r="P22" s="34">
        <f ca="1">'18'!M19</f>
        <v>66.099999999999994</v>
      </c>
      <c r="Q22" s="36"/>
      <c r="R22" s="34">
        <f ca="1">'18'!M20</f>
        <v>80.5</v>
      </c>
      <c r="S22" s="36"/>
      <c r="T22" s="34">
        <f ca="1">'18'!M21</f>
        <v>71.7</v>
      </c>
      <c r="U22" s="36"/>
      <c r="V22" s="34">
        <f ca="1">'18'!M22</f>
        <v>72.5</v>
      </c>
      <c r="W22" s="36"/>
      <c r="X22" s="34">
        <f ca="1">'18'!M23</f>
        <v>81</v>
      </c>
      <c r="Y22" s="36"/>
      <c r="Z22" s="34">
        <f ca="1">'18'!M24</f>
        <v>93</v>
      </c>
      <c r="AA22" s="36"/>
      <c r="AB22" s="34"/>
      <c r="AC22" s="37"/>
      <c r="AD22" s="34" t="str">
        <f>IF($D22&lt;&gt;"", IF(AD$2&lt;&gt;"", SUM('Unidad 1'!AD22, 'Unidad 2'!AD22, 'Unidad 3'!AD22, 'Unidad 4'!AD22)/4, ""), "")</f>
        <v/>
      </c>
      <c r="AE22" s="36"/>
      <c r="AF22" s="34" t="str">
        <f>IF($D22&lt;&gt;"", IF(AF$2&lt;&gt;"", SUM('Unidad 1'!AF22, 'Unidad 2'!AF22, 'Unidad 3'!AF22, 'Unidad 4'!AF22)/4, ""), "")</f>
        <v/>
      </c>
      <c r="AG22" s="36"/>
      <c r="AH22" s="34" t="str">
        <f>IF($D22&lt;&gt;"", IF(AH$2&lt;&gt;"", SUM('Unidad 1'!AH22, 'Unidad 2'!AH22, 'Unidad 3'!AH22, 'Unidad 4'!AH22)/4, ""), "")</f>
        <v/>
      </c>
      <c r="AI22" s="36"/>
      <c r="AJ22" s="34" t="e">
        <f>SUM(('Unidad 1'!AJ22+#REF!+#REF!+#REF!)/4)</f>
        <v>#REF!</v>
      </c>
      <c r="AK22" s="36"/>
      <c r="AL22" s="18" t="str">
        <f t="shared" ca="1" si="0"/>
        <v>R</v>
      </c>
      <c r="AM22" s="2"/>
    </row>
    <row r="23" spans="1:39" ht="15" thickBot="1" x14ac:dyDescent="0.35">
      <c r="A23" s="2"/>
      <c r="B23" s="4">
        <v>19</v>
      </c>
      <c r="C23" s="2"/>
      <c r="D23" s="7" t="str">
        <f>IF('Datos Generales'!C62&lt;&gt;"", 'Datos Generales'!C62, "")</f>
        <v>Pichillá Castillo, Andrea Paola</v>
      </c>
      <c r="E23" s="2"/>
      <c r="F23" s="34">
        <f ca="1">'19'!M14</f>
        <v>86.4</v>
      </c>
      <c r="G23" s="36"/>
      <c r="H23" s="34">
        <f ca="1">'19'!M15</f>
        <v>86.4</v>
      </c>
      <c r="I23" s="36"/>
      <c r="J23" s="34">
        <f ca="1">'19'!M16</f>
        <v>87.65</v>
      </c>
      <c r="K23" s="36"/>
      <c r="L23" s="34">
        <f ca="1">'19'!M17</f>
        <v>94.25</v>
      </c>
      <c r="M23" s="36"/>
      <c r="N23" s="34">
        <f ca="1">'19'!M18</f>
        <v>91.4</v>
      </c>
      <c r="O23" s="36"/>
      <c r="P23" s="34">
        <f ca="1">'19'!M19</f>
        <v>85.7</v>
      </c>
      <c r="Q23" s="36"/>
      <c r="R23" s="34">
        <f ca="1">'19'!M20</f>
        <v>96.3</v>
      </c>
      <c r="S23" s="36"/>
      <c r="T23" s="34">
        <f ca="1">'19'!M21</f>
        <v>93.800000000000011</v>
      </c>
      <c r="U23" s="36"/>
      <c r="V23" s="34">
        <f ca="1">'19'!M22</f>
        <v>93</v>
      </c>
      <c r="W23" s="36"/>
      <c r="X23" s="34">
        <f ca="1">'19'!M23</f>
        <v>84.9</v>
      </c>
      <c r="Y23" s="36"/>
      <c r="Z23" s="34">
        <f ca="1">'19'!M24</f>
        <v>81.599999999999994</v>
      </c>
      <c r="AA23" s="36"/>
      <c r="AB23" s="34"/>
      <c r="AC23" s="37"/>
      <c r="AD23" s="34" t="str">
        <f>IF($D23&lt;&gt;"", IF(AD$2&lt;&gt;"", SUM('Unidad 1'!AD23, 'Unidad 2'!AD23, 'Unidad 3'!AD23, 'Unidad 4'!AD23)/4, ""), "")</f>
        <v/>
      </c>
      <c r="AE23" s="36"/>
      <c r="AF23" s="34" t="s">
        <v>82</v>
      </c>
      <c r="AG23" s="36"/>
      <c r="AH23" s="34" t="str">
        <f>IF($D23&lt;&gt;"", IF(AH$2&lt;&gt;"", SUM('Unidad 1'!AH23, 'Unidad 2'!AH23, 'Unidad 3'!AH23, 'Unidad 4'!AH23)/4, ""), "")</f>
        <v/>
      </c>
      <c r="AI23" s="36"/>
      <c r="AJ23" s="34" t="e">
        <f>SUM(('Unidad 1'!AJ23+#REF!+#REF!+#REF!)/4)</f>
        <v>#REF!</v>
      </c>
      <c r="AK23" s="36"/>
      <c r="AL23" s="18" t="str">
        <f t="shared" ca="1" si="0"/>
        <v>R</v>
      </c>
      <c r="AM23" s="2"/>
    </row>
    <row r="24" spans="1:39" ht="15" thickBot="1" x14ac:dyDescent="0.35">
      <c r="A24" s="2"/>
      <c r="B24" s="4">
        <v>20</v>
      </c>
      <c r="C24" s="2"/>
      <c r="D24" s="7" t="str">
        <f>IF('Datos Generales'!C63&lt;&gt;"", 'Datos Generales'!C63, "")</f>
        <v>Quina Melendez, Erika Yustina</v>
      </c>
      <c r="E24" s="2"/>
      <c r="F24" s="34">
        <f ca="1">'20'!M14</f>
        <v>81</v>
      </c>
      <c r="G24" s="36"/>
      <c r="H24" s="34">
        <f ca="1">'20'!M15</f>
        <v>82.050000000000011</v>
      </c>
      <c r="I24" s="36"/>
      <c r="J24" s="34">
        <f ca="1">'20'!M16</f>
        <v>70.8</v>
      </c>
      <c r="K24" s="36"/>
      <c r="L24" s="34">
        <f ca="1">'20'!M17</f>
        <v>76.849999999999994</v>
      </c>
      <c r="M24" s="36"/>
      <c r="N24" s="34">
        <f ca="1">'20'!M18</f>
        <v>96.7</v>
      </c>
      <c r="O24" s="36"/>
      <c r="P24" s="34">
        <f ca="1">'20'!M19</f>
        <v>79.850000000000009</v>
      </c>
      <c r="Q24" s="36"/>
      <c r="R24" s="34">
        <f ca="1">'20'!M20</f>
        <v>92.800000000000011</v>
      </c>
      <c r="S24" s="36"/>
      <c r="T24" s="34">
        <f ca="1">'20'!M21</f>
        <v>93.1</v>
      </c>
      <c r="U24" s="36"/>
      <c r="V24" s="34">
        <f ca="1">'20'!M22</f>
        <v>92</v>
      </c>
      <c r="W24" s="36"/>
      <c r="X24" s="34">
        <f ca="1">'20'!M23</f>
        <v>75.25</v>
      </c>
      <c r="Y24" s="36"/>
      <c r="Z24" s="34">
        <f ca="1">'20'!M24</f>
        <v>73.75</v>
      </c>
      <c r="AA24" s="36"/>
      <c r="AB24" s="34"/>
      <c r="AC24" s="37"/>
      <c r="AD24" s="34" t="str">
        <f>IF($D24&lt;&gt;"", IF(AD$2&lt;&gt;"", SUM('Unidad 1'!AD24, 'Unidad 2'!AD24, 'Unidad 3'!AD24, 'Unidad 4'!AD24)/4, ""), "")</f>
        <v/>
      </c>
      <c r="AE24" s="36"/>
      <c r="AF24" s="34" t="str">
        <f>IF($D24&lt;&gt;"", IF(AF$2&lt;&gt;"", SUM('Unidad 1'!AF24, 'Unidad 2'!AF24, 'Unidad 3'!AF24, 'Unidad 4'!AF24)/4, ""), "")</f>
        <v/>
      </c>
      <c r="AG24" s="36"/>
      <c r="AH24" s="34" t="str">
        <f>IF($D24&lt;&gt;"", IF(AH$2&lt;&gt;"", SUM('Unidad 1'!AH24, 'Unidad 2'!AH24, 'Unidad 3'!AH24, 'Unidad 4'!AH24)/4, ""), "")</f>
        <v/>
      </c>
      <c r="AI24" s="36"/>
      <c r="AJ24" s="34" t="e">
        <f>SUM(('Unidad 1'!AJ24+#REF!+#REF!+#REF!)/4)</f>
        <v>#REF!</v>
      </c>
      <c r="AK24" s="36"/>
      <c r="AL24" s="18" t="str">
        <f t="shared" ca="1" si="0"/>
        <v>R</v>
      </c>
      <c r="AM24" s="2"/>
    </row>
    <row r="25" spans="1:39" ht="15" thickBot="1" x14ac:dyDescent="0.35">
      <c r="A25" s="2"/>
      <c r="B25" s="4">
        <v>21</v>
      </c>
      <c r="C25" s="2"/>
      <c r="D25" s="7" t="str">
        <f>IF('Datos Generales'!C64&lt;&gt;"", 'Datos Generales'!C64, "")</f>
        <v>Quiñonez García, Estefani Mariela</v>
      </c>
      <c r="E25" s="2"/>
      <c r="F25" s="34">
        <f ca="1">'21'!M14</f>
        <v>89.4</v>
      </c>
      <c r="G25" s="36"/>
      <c r="H25" s="34">
        <f ca="1">'21'!M15</f>
        <v>85.9</v>
      </c>
      <c r="I25" s="36"/>
      <c r="J25" s="34">
        <f ca="1">'21'!M16</f>
        <v>68.949999999999989</v>
      </c>
      <c r="K25" s="36"/>
      <c r="L25" s="34">
        <f ca="1">'21'!M17</f>
        <v>74.050000000000011</v>
      </c>
      <c r="M25" s="36"/>
      <c r="N25" s="34">
        <f ca="1">'21'!M18</f>
        <v>73.2</v>
      </c>
      <c r="O25" s="36"/>
      <c r="P25" s="34">
        <f ca="1">'21'!M19</f>
        <v>71.849999999999994</v>
      </c>
      <c r="Q25" s="36"/>
      <c r="R25" s="34">
        <f ca="1">'21'!M20</f>
        <v>85.8</v>
      </c>
      <c r="S25" s="36"/>
      <c r="T25" s="34">
        <f ca="1">'21'!M21</f>
        <v>88.95</v>
      </c>
      <c r="U25" s="36"/>
      <c r="V25" s="34">
        <f ca="1">'21'!M22</f>
        <v>82</v>
      </c>
      <c r="W25" s="36"/>
      <c r="X25" s="34">
        <f ca="1">'21'!M23</f>
        <v>73.599999999999994</v>
      </c>
      <c r="Y25" s="36"/>
      <c r="Z25" s="34">
        <f ca="1">'21'!M24</f>
        <v>79.099999999999994</v>
      </c>
      <c r="AA25" s="36"/>
      <c r="AB25" s="34"/>
      <c r="AC25" s="37"/>
      <c r="AD25" s="34" t="str">
        <f>IF($D25&lt;&gt;"", IF(AD$2&lt;&gt;"", SUM('Unidad 1'!AD25, 'Unidad 2'!AD25, 'Unidad 3'!AD25, 'Unidad 4'!AD25)/4, ""), "")</f>
        <v/>
      </c>
      <c r="AE25" s="36"/>
      <c r="AF25" s="34" t="str">
        <f>IF($D25&lt;&gt;"", IF(AF$2&lt;&gt;"", SUM('Unidad 1'!AF25, 'Unidad 2'!AF25, 'Unidad 3'!AF25, 'Unidad 4'!AF25)/4, ""), "")</f>
        <v/>
      </c>
      <c r="AG25" s="36"/>
      <c r="AH25" s="34" t="str">
        <f>IF($D25&lt;&gt;"", IF(AH$2&lt;&gt;"", SUM('Unidad 1'!AH25, 'Unidad 2'!AH25, 'Unidad 3'!AH25, 'Unidad 4'!AH25)/4, ""), "")</f>
        <v/>
      </c>
      <c r="AI25" s="36"/>
      <c r="AJ25" s="34" t="e">
        <f>SUM(('Unidad 1'!AJ25+#REF!+#REF!+#REF!)/4)</f>
        <v>#REF!</v>
      </c>
      <c r="AK25" s="36"/>
      <c r="AL25" s="18" t="str">
        <f t="shared" ca="1" si="0"/>
        <v>R</v>
      </c>
      <c r="AM25" s="2"/>
    </row>
    <row r="26" spans="1:39" ht="15" thickBot="1" x14ac:dyDescent="0.35">
      <c r="A26" s="2"/>
      <c r="B26" s="4">
        <v>22</v>
      </c>
      <c r="C26" s="2"/>
      <c r="D26" s="7" t="str">
        <f>IF('Datos Generales'!C65&lt;&gt;"", 'Datos Generales'!C65, "")</f>
        <v>Reyes Romero, José Ángel Estuardo</v>
      </c>
      <c r="E26" s="2"/>
      <c r="F26" s="34">
        <f ca="1">'22'!M14</f>
        <v>92.850000000000009</v>
      </c>
      <c r="G26" s="36"/>
      <c r="H26" s="34">
        <f ca="1">'22'!M15</f>
        <v>92.850000000000009</v>
      </c>
      <c r="I26" s="36"/>
      <c r="J26" s="34">
        <f ca="1">'22'!M16</f>
        <v>85.8</v>
      </c>
      <c r="K26" s="36"/>
      <c r="L26" s="34">
        <f ca="1">'22'!M17</f>
        <v>93.4</v>
      </c>
      <c r="M26" s="36"/>
      <c r="N26" s="34">
        <f ca="1">'22'!M18</f>
        <v>99.6</v>
      </c>
      <c r="O26" s="36"/>
      <c r="P26" s="34">
        <f ca="1">'22'!M19</f>
        <v>95.3</v>
      </c>
      <c r="Q26" s="36"/>
      <c r="R26" s="34">
        <f ca="1">'22'!M20</f>
        <v>92.65</v>
      </c>
      <c r="S26" s="36"/>
      <c r="T26" s="34">
        <f ca="1">'22'!M21</f>
        <v>89.300000000000011</v>
      </c>
      <c r="U26" s="36"/>
      <c r="V26" s="34">
        <f ca="1">'22'!M22</f>
        <v>93</v>
      </c>
      <c r="W26" s="36"/>
      <c r="X26" s="34">
        <f ca="1">'22'!M23</f>
        <v>91.05</v>
      </c>
      <c r="Y26" s="36"/>
      <c r="Z26" s="34">
        <f ca="1">'22'!M24</f>
        <v>92.5</v>
      </c>
      <c r="AA26" s="36"/>
      <c r="AB26" s="34"/>
      <c r="AC26" s="37"/>
      <c r="AD26" s="34" t="str">
        <f>IF($D26&lt;&gt;"", IF(AD$2&lt;&gt;"", SUM('Unidad 1'!AD26, 'Unidad 2'!AD26, 'Unidad 3'!AD26, 'Unidad 4'!AD26)/4, ""), "")</f>
        <v/>
      </c>
      <c r="AE26" s="36"/>
      <c r="AF26" s="34" t="str">
        <f>IF($D26&lt;&gt;"", IF(AF$2&lt;&gt;"", SUM('Unidad 1'!AF26, 'Unidad 2'!AF26, 'Unidad 3'!AF26, 'Unidad 4'!AF26)/4, ""), "")</f>
        <v/>
      </c>
      <c r="AG26" s="36"/>
      <c r="AH26" s="34" t="str">
        <f>IF($D26&lt;&gt;"", IF(AH$2&lt;&gt;"", SUM('Unidad 1'!AH26, 'Unidad 2'!AH26, 'Unidad 3'!AH26, 'Unidad 4'!AH26)/4, ""), "")</f>
        <v/>
      </c>
      <c r="AI26" s="36"/>
      <c r="AJ26" s="34" t="e">
        <f>SUM(('Unidad 1'!AJ26+#REF!+#REF!+#REF!)/4)</f>
        <v>#REF!</v>
      </c>
      <c r="AK26" s="36"/>
      <c r="AL26" s="18" t="str">
        <f t="shared" ca="1" si="0"/>
        <v>R</v>
      </c>
      <c r="AM26" s="2"/>
    </row>
    <row r="27" spans="1:39" ht="15" thickBot="1" x14ac:dyDescent="0.35">
      <c r="A27" s="2"/>
      <c r="B27" s="4">
        <v>23</v>
      </c>
      <c r="C27" s="2"/>
      <c r="D27" s="7" t="str">
        <f>IF('Datos Generales'!C66&lt;&gt;"", 'Datos Generales'!C66, "")</f>
        <v>Tejaxun Gil, Oliver Alexander</v>
      </c>
      <c r="E27" s="2"/>
      <c r="F27" s="34">
        <f ca="1">'23'!M14</f>
        <v>25.200000000000003</v>
      </c>
      <c r="G27" s="36"/>
      <c r="H27" s="34">
        <f ca="1">'23'!M15</f>
        <v>25.200000000000003</v>
      </c>
      <c r="I27" s="36"/>
      <c r="J27" s="34">
        <f ca="1">'23'!M16</f>
        <v>22.1</v>
      </c>
      <c r="K27" s="36"/>
      <c r="L27" s="34">
        <f ca="1">'23'!M17</f>
        <v>44.400000000000006</v>
      </c>
      <c r="M27" s="36"/>
      <c r="N27" s="34">
        <f ca="1">'23'!M18</f>
        <v>19.55</v>
      </c>
      <c r="O27" s="36"/>
      <c r="P27" s="34">
        <f ca="1">'23'!M19</f>
        <v>31.800000000000004</v>
      </c>
      <c r="Q27" s="36"/>
      <c r="R27" s="34">
        <f ca="1">'23'!M20</f>
        <v>35.799999999999997</v>
      </c>
      <c r="S27" s="36"/>
      <c r="T27" s="34">
        <f ca="1">'23'!M21</f>
        <v>33.799999999999997</v>
      </c>
      <c r="U27" s="36"/>
      <c r="V27" s="34">
        <f ca="1">'23'!M22</f>
        <v>18</v>
      </c>
      <c r="W27" s="36"/>
      <c r="X27" s="34">
        <f ca="1">'23'!M23</f>
        <v>40</v>
      </c>
      <c r="Y27" s="36"/>
      <c r="Z27" s="34" t="e">
        <f>'23'!M24</f>
        <v>#REF!</v>
      </c>
      <c r="AA27" s="36"/>
      <c r="AB27" s="34"/>
      <c r="AC27" s="37"/>
      <c r="AD27" s="34" t="str">
        <f>IF($D27&lt;&gt;"", IF(AD$2&lt;&gt;"", SUM('Unidad 1'!AD27, 'Unidad 2'!AD27, 'Unidad 3'!AD27, 'Unidad 4'!AD27)/4, ""), "")</f>
        <v/>
      </c>
      <c r="AE27" s="36"/>
      <c r="AF27" s="34" t="str">
        <f>IF($D27&lt;&gt;"", IF(AF$2&lt;&gt;"", SUM('Unidad 1'!AF27, 'Unidad 2'!AF27, 'Unidad 3'!AF27, 'Unidad 4'!AF27)/4, ""), "")</f>
        <v/>
      </c>
      <c r="AG27" s="36"/>
      <c r="AH27" s="34" t="str">
        <f>IF($D27&lt;&gt;"", IF(AH$2&lt;&gt;"", SUM('Unidad 1'!AH27, 'Unidad 2'!AH27, 'Unidad 3'!AH27, 'Unidad 4'!AH27)/4, ""), "")</f>
        <v/>
      </c>
      <c r="AI27" s="36"/>
      <c r="AJ27" s="34" t="e">
        <f>SUM(('Unidad 1'!AJ27+#REF!+#REF!+#REF!)/4)</f>
        <v>#REF!</v>
      </c>
      <c r="AK27" s="36"/>
      <c r="AL27" s="18" t="e">
        <f t="shared" ca="1" si="0"/>
        <v>#REF!</v>
      </c>
      <c r="AM27" s="2"/>
    </row>
    <row r="28" spans="1:39" ht="15" thickBot="1" x14ac:dyDescent="0.35">
      <c r="A28" s="2"/>
      <c r="B28" s="4">
        <v>24</v>
      </c>
      <c r="C28" s="2"/>
      <c r="D28" s="7" t="str">
        <f>IF('Datos Generales'!C67&lt;&gt;"", 'Datos Generales'!C67, "")</f>
        <v>Tubac Paniagua, Walter Saúl</v>
      </c>
      <c r="E28" s="2"/>
      <c r="F28" s="34">
        <f ca="1">'24'!M14</f>
        <v>78.55</v>
      </c>
      <c r="G28" s="36"/>
      <c r="H28" s="34">
        <f ca="1">'24'!M15</f>
        <v>79.95</v>
      </c>
      <c r="I28" s="36"/>
      <c r="J28" s="34">
        <f ca="1">'24'!M16</f>
        <v>73.5</v>
      </c>
      <c r="K28" s="36"/>
      <c r="L28" s="34">
        <f ca="1">'24'!M17</f>
        <v>78.900000000000006</v>
      </c>
      <c r="M28" s="36"/>
      <c r="N28" s="34">
        <f ca="1">'24'!M18</f>
        <v>85.4</v>
      </c>
      <c r="O28" s="36"/>
      <c r="P28" s="34">
        <f ca="1">'24'!M19</f>
        <v>67.95</v>
      </c>
      <c r="Q28" s="36"/>
      <c r="R28" s="34">
        <f ca="1">'24'!M20</f>
        <v>91.5</v>
      </c>
      <c r="S28" s="36"/>
      <c r="T28" s="34">
        <f ca="1">'24'!M21</f>
        <v>88.699999999999989</v>
      </c>
      <c r="U28" s="36"/>
      <c r="V28" s="34">
        <f ca="1">'24'!M22</f>
        <v>85</v>
      </c>
      <c r="W28" s="36"/>
      <c r="X28" s="34">
        <f ca="1">'24'!M23</f>
        <v>73.45</v>
      </c>
      <c r="Y28" s="36"/>
      <c r="Z28" s="34">
        <f ca="1">'24'!M24</f>
        <v>98</v>
      </c>
      <c r="AA28" s="36"/>
      <c r="AB28" s="34"/>
      <c r="AC28" s="37"/>
      <c r="AD28" s="34" t="str">
        <f>IF($D28&lt;&gt;"", IF(AD$2&lt;&gt;"", SUM('Unidad 1'!AD28, 'Unidad 2'!AD28, 'Unidad 3'!AD28, 'Unidad 4'!AD28)/4, ""), "")</f>
        <v/>
      </c>
      <c r="AE28" s="36"/>
      <c r="AF28" s="34" t="str">
        <f>IF($D28&lt;&gt;"", IF(AF$2&lt;&gt;"", SUM('Unidad 1'!AF28, 'Unidad 2'!AF28, 'Unidad 3'!AF28, 'Unidad 4'!AF28)/4, ""), "")</f>
        <v/>
      </c>
      <c r="AG28" s="36"/>
      <c r="AH28" s="34" t="str">
        <f>IF($D28&lt;&gt;"", IF(AH$2&lt;&gt;"", SUM('Unidad 1'!AH28, 'Unidad 2'!AH28, 'Unidad 3'!AH28, 'Unidad 4'!AH28)/4, ""), "")</f>
        <v/>
      </c>
      <c r="AI28" s="36"/>
      <c r="AJ28" s="34" t="e">
        <f>SUM(('Unidad 1'!AJ28+#REF!+#REF!+#REF!)/4)</f>
        <v>#REF!</v>
      </c>
      <c r="AK28" s="36"/>
      <c r="AL28" s="18" t="str">
        <f t="shared" ca="1" si="0"/>
        <v>R</v>
      </c>
      <c r="AM28" s="2"/>
    </row>
    <row r="29" spans="1:39" ht="15" thickBot="1" x14ac:dyDescent="0.35">
      <c r="A29" s="2"/>
      <c r="B29" s="4">
        <v>25</v>
      </c>
      <c r="C29" s="2"/>
      <c r="D29" s="7" t="str">
        <f>IF('Datos Generales'!C68&lt;&gt;"", 'Datos Generales'!C68, "")</f>
        <v>López Magarín, Esaú César Armando</v>
      </c>
      <c r="E29" s="2"/>
      <c r="F29" s="34">
        <f ca="1">'25'!M14</f>
        <v>17.8</v>
      </c>
      <c r="G29" s="36"/>
      <c r="H29" s="34">
        <f ca="1">'25'!M15</f>
        <v>17.8</v>
      </c>
      <c r="I29" s="36"/>
      <c r="J29" s="34">
        <f ca="1">'25'!M16</f>
        <v>17.100000000000001</v>
      </c>
      <c r="K29" s="36"/>
      <c r="L29" s="34">
        <f ca="1">'25'!M17</f>
        <v>19.450000000000003</v>
      </c>
      <c r="M29" s="36"/>
      <c r="N29" s="34">
        <f ca="1">'25'!M18</f>
        <v>9.3500000000000014</v>
      </c>
      <c r="O29" s="36"/>
      <c r="P29" s="34">
        <f ca="1">'25'!M19</f>
        <v>14.8</v>
      </c>
      <c r="Q29" s="36"/>
      <c r="R29" s="34">
        <f ca="1">'25'!M20</f>
        <v>43.9</v>
      </c>
      <c r="S29" s="36"/>
      <c r="T29" s="34">
        <f ca="1">'25'!M21</f>
        <v>42.5</v>
      </c>
      <c r="U29" s="36"/>
      <c r="V29" s="34">
        <f ca="1">'25'!M22</f>
        <v>6</v>
      </c>
      <c r="W29" s="36"/>
      <c r="X29" s="34">
        <f ca="1">'25'!M23</f>
        <v>30.8</v>
      </c>
      <c r="Y29" s="36"/>
      <c r="Z29" s="34" t="e">
        <f>'25'!M24</f>
        <v>#REF!</v>
      </c>
      <c r="AA29" s="36"/>
      <c r="AB29" s="34"/>
      <c r="AC29" s="37"/>
      <c r="AD29" s="34" t="str">
        <f>IF($D29&lt;&gt;"", IF(AD$2&lt;&gt;"", SUM('Unidad 1'!AD29, 'Unidad 2'!AD29, 'Unidad 3'!AD29, 'Unidad 4'!AD29)/4, ""), "")</f>
        <v/>
      </c>
      <c r="AE29" s="36"/>
      <c r="AF29" s="34" t="str">
        <f>IF($D29&lt;&gt;"", IF(AF$2&lt;&gt;"", SUM('Unidad 1'!AF29, 'Unidad 2'!AF29, 'Unidad 3'!AF29, 'Unidad 4'!AF29)/4, ""), "")</f>
        <v/>
      </c>
      <c r="AG29" s="36"/>
      <c r="AH29" s="34" t="str">
        <f>IF($D29&lt;&gt;"", IF(AH$2&lt;&gt;"", SUM('Unidad 1'!AH29, 'Unidad 2'!AH29, 'Unidad 3'!AH29, 'Unidad 4'!AH29)/4, ""), "")</f>
        <v/>
      </c>
      <c r="AI29" s="36"/>
      <c r="AJ29" s="34" t="e">
        <f>SUM(('Unidad 1'!AJ29+#REF!+#REF!+#REF!)/4)</f>
        <v>#REF!</v>
      </c>
      <c r="AK29" s="36"/>
      <c r="AL29" s="18" t="e">
        <f t="shared" ca="1" si="0"/>
        <v>#REF!</v>
      </c>
      <c r="AM29" s="2"/>
    </row>
    <row r="30" spans="1:39" ht="15" thickBot="1" x14ac:dyDescent="0.35">
      <c r="A30" s="2"/>
      <c r="B30" s="4">
        <v>26</v>
      </c>
      <c r="C30" s="2"/>
      <c r="D30" s="7" t="str">
        <f>IF('Datos Generales'!C69&lt;&gt;"", 'Datos Generales'!C69, "")</f>
        <v/>
      </c>
      <c r="E30" s="2"/>
      <c r="F30" s="34"/>
      <c r="G30" s="36"/>
      <c r="H30" s="34"/>
      <c r="I30" s="36"/>
      <c r="J30" s="34"/>
      <c r="K30" s="36"/>
      <c r="L30" s="34"/>
      <c r="M30" s="36"/>
      <c r="N30" s="34"/>
      <c r="O30" s="36"/>
      <c r="P30" s="34"/>
      <c r="Q30" s="36"/>
      <c r="R30" s="34"/>
      <c r="S30" s="36"/>
      <c r="T30" s="34"/>
      <c r="U30" s="36"/>
      <c r="V30" s="34"/>
      <c r="W30" s="36"/>
      <c r="X30" s="34"/>
      <c r="Y30" s="36"/>
      <c r="Z30" s="34"/>
      <c r="AA30" s="36"/>
      <c r="AB30" s="34"/>
      <c r="AC30" s="37"/>
      <c r="AD30" s="34" t="str">
        <f>IF($D30&lt;&gt;"", IF(AD$2&lt;&gt;"", SUM('Unidad 1'!AD30, 'Unidad 2'!AD30, 'Unidad 3'!AD30, 'Unidad 4'!AD30)/4, ""), "")</f>
        <v/>
      </c>
      <c r="AE30" s="36"/>
      <c r="AF30" s="34" t="str">
        <f>IF($D30&lt;&gt;"", IF(AF$2&lt;&gt;"", SUM('Unidad 1'!AF30, 'Unidad 2'!AF30, 'Unidad 3'!AF30, 'Unidad 4'!AF30)/4, ""), "")</f>
        <v/>
      </c>
      <c r="AG30" s="36"/>
      <c r="AH30" s="34" t="str">
        <f>IF($D30&lt;&gt;"", IF(AH$2&lt;&gt;"", SUM('Unidad 1'!AH30, 'Unidad 2'!AH30, 'Unidad 3'!AH30, 'Unidad 4'!AH30)/4, ""), "")</f>
        <v/>
      </c>
      <c r="AI30" s="36"/>
      <c r="AJ30" s="34"/>
      <c r="AK30" s="36"/>
      <c r="AL30" s="18" t="str">
        <f t="shared" si="0"/>
        <v/>
      </c>
      <c r="AM30" s="2"/>
    </row>
    <row r="31" spans="1:39" ht="15" thickBot="1" x14ac:dyDescent="0.35">
      <c r="A31" s="2"/>
      <c r="B31" s="4">
        <v>27</v>
      </c>
      <c r="C31" s="2"/>
      <c r="D31" s="7" t="str">
        <f>IF('Datos Generales'!C70&lt;&gt;"", 'Datos Generales'!C70, "")</f>
        <v/>
      </c>
      <c r="E31" s="2"/>
      <c r="F31" s="34"/>
      <c r="G31" s="36"/>
      <c r="H31" s="34"/>
      <c r="I31" s="36"/>
      <c r="J31" s="34"/>
      <c r="K31" s="36"/>
      <c r="L31" s="34"/>
      <c r="M31" s="36"/>
      <c r="N31" s="34"/>
      <c r="O31" s="36"/>
      <c r="P31" s="34"/>
      <c r="Q31" s="36"/>
      <c r="R31" s="34"/>
      <c r="S31" s="36"/>
      <c r="T31" s="34"/>
      <c r="U31" s="36"/>
      <c r="V31" s="34"/>
      <c r="W31" s="36"/>
      <c r="X31" s="34"/>
      <c r="Y31" s="36"/>
      <c r="Z31" s="34"/>
      <c r="AA31" s="36"/>
      <c r="AB31" s="34"/>
      <c r="AC31" s="37"/>
      <c r="AD31" s="34" t="str">
        <f>IF($D31&lt;&gt;"", IF(AD$2&lt;&gt;"", SUM('Unidad 1'!AD31, 'Unidad 2'!AD31, 'Unidad 3'!AD31, 'Unidad 4'!AD31)/4, ""), "")</f>
        <v/>
      </c>
      <c r="AE31" s="36"/>
      <c r="AF31" s="34" t="str">
        <f>IF($D31&lt;&gt;"", IF(AF$2&lt;&gt;"", SUM('Unidad 1'!AF31, 'Unidad 2'!AF31, 'Unidad 3'!AF31, 'Unidad 4'!AF31)/4, ""), "")</f>
        <v/>
      </c>
      <c r="AG31" s="36"/>
      <c r="AH31" s="34" t="str">
        <f>IF($D31&lt;&gt;"", IF(AH$2&lt;&gt;"", SUM('Unidad 1'!AH31, 'Unidad 2'!AH31, 'Unidad 3'!AH31, 'Unidad 4'!AH31)/4, ""), "")</f>
        <v/>
      </c>
      <c r="AI31" s="36"/>
      <c r="AJ31" s="34"/>
      <c r="AK31" s="36"/>
      <c r="AL31" s="18" t="str">
        <f t="shared" si="0"/>
        <v/>
      </c>
      <c r="AM31" s="2"/>
    </row>
    <row r="32" spans="1:39" ht="15" thickBot="1" x14ac:dyDescent="0.35">
      <c r="A32" s="2"/>
      <c r="B32" s="4">
        <v>28</v>
      </c>
      <c r="C32" s="2"/>
      <c r="D32" s="7" t="str">
        <f>IF('Datos Generales'!C71&lt;&gt;"", 'Datos Generales'!C71, "")</f>
        <v/>
      </c>
      <c r="E32" s="2"/>
      <c r="F32" s="34" t="str">
        <f>IF($D32&lt;&gt;"", IF(F$2&lt;&gt;"", SUM('Unidad 1'!F32, 'Unidad 2'!#REF!, 'Unidad 3'!F32, 'Unidad 4'!F32)/4, ""), "")</f>
        <v/>
      </c>
      <c r="G32" s="36"/>
      <c r="H32" s="34" t="str">
        <f>IF($D32&lt;&gt;"", IF(H$2&lt;&gt;"", SUM('Unidad 1'!H32, 'Unidad 2'!#REF!, 'Unidad 3'!H32, 'Unidad 4'!H32)/4, ""), "")</f>
        <v/>
      </c>
      <c r="I32" s="36"/>
      <c r="J32" s="34" t="str">
        <f>IF($D32&lt;&gt;"", IF(J$2&lt;&gt;"", SUM('Unidad 1'!J32, 'Unidad 2'!#REF!, 'Unidad 3'!J32, 'Unidad 4'!J32)/4, ""), "")</f>
        <v/>
      </c>
      <c r="K32" s="36"/>
      <c r="L32" s="34" t="str">
        <f>IF($D32&lt;&gt;"", IF(L$2&lt;&gt;"", SUM('Unidad 1'!L32, 'Unidad 2'!#REF!, 'Unidad 3'!L32, 'Unidad 4'!L32)/4, ""), "")</f>
        <v/>
      </c>
      <c r="M32" s="36"/>
      <c r="N32" s="34" t="str">
        <f>IF($D32&lt;&gt;"", IF(N$2&lt;&gt;"", SUM('Unidad 1'!N32, 'Unidad 2'!#REF!, 'Unidad 3'!N32, 'Unidad 4'!N32)/4, ""), "")</f>
        <v/>
      </c>
      <c r="O32" s="36"/>
      <c r="P32" s="34" t="str">
        <f>IF($D32&lt;&gt;"", IF(P$2&lt;&gt;"", SUM('Unidad 1'!P32, 'Unidad 2'!#REF!, 'Unidad 3'!P32, 'Unidad 4'!P32)/4, ""), "")</f>
        <v/>
      </c>
      <c r="Q32" s="36"/>
      <c r="R32" s="34" t="str">
        <f>IF($D32&lt;&gt;"", IF(R$2&lt;&gt;"", SUM('Unidad 1'!R32, 'Unidad 2'!#REF!, 'Unidad 3'!R32, 'Unidad 4'!R32)/4, ""), "")</f>
        <v/>
      </c>
      <c r="S32" s="36"/>
      <c r="T32" s="34" t="str">
        <f>IF($D32&lt;&gt;"", IF(T$2&lt;&gt;"", SUM('Unidad 1'!T32, 'Unidad 2'!#REF!, 'Unidad 3'!T32, 'Unidad 4'!T32)/4, ""), "")</f>
        <v/>
      </c>
      <c r="U32" s="36"/>
      <c r="V32" s="34" t="str">
        <f>IF($D32&lt;&gt;"", IF(V$2&lt;&gt;"", SUM('Unidad 1'!V32, 'Unidad 2'!#REF!, 'Unidad 3'!V32, 'Unidad 4'!V32)/4, ""), "")</f>
        <v/>
      </c>
      <c r="W32" s="36"/>
      <c r="X32" s="34" t="str">
        <f>IF($D32&lt;&gt;"", IF(X$2&lt;&gt;"", SUM('Unidad 1'!X32, 'Unidad 2'!#REF!, 'Unidad 3'!X32, 'Unidad 4'!X32)/4, ""), "")</f>
        <v/>
      </c>
      <c r="Y32" s="36"/>
      <c r="Z32" s="34" t="str">
        <f>IF($D32&lt;&gt;"", IF(Z$2&lt;&gt;"", SUM('Unidad 1'!Z32, 'Unidad 2'!Z32, 'Unidad 3'!Z32, 'Unidad 4'!Z32)/4, ""), "")</f>
        <v/>
      </c>
      <c r="AA32" s="36"/>
      <c r="AB32" s="34" t="str">
        <f>IF($D32&lt;&gt;"", IF(AB$2&lt;&gt;"", SUM('Unidad 1'!AB32, 'Unidad 2'!AB32, 'Unidad 3'!AB32, 'Unidad 4'!AB32)/4, ""), "")</f>
        <v/>
      </c>
      <c r="AC32" s="37"/>
      <c r="AD32" s="34" t="str">
        <f>IF($D32&lt;&gt;"", IF(AD$2&lt;&gt;"", SUM('Unidad 1'!AD32, 'Unidad 2'!AD32, 'Unidad 3'!AD32, 'Unidad 4'!AD32)/4, ""), "")</f>
        <v/>
      </c>
      <c r="AE32" s="36"/>
      <c r="AF32" s="34" t="str">
        <f>IF($D32&lt;&gt;"", IF(AF$2&lt;&gt;"", SUM('Unidad 1'!AF32, 'Unidad 2'!AF32, 'Unidad 3'!AF32, 'Unidad 4'!AF32)/4, ""), "")</f>
        <v/>
      </c>
      <c r="AG32" s="36"/>
      <c r="AH32" s="34" t="str">
        <f>IF($D32&lt;&gt;"", IF(AH$2&lt;&gt;"", SUM('Unidad 1'!AH32, 'Unidad 2'!AH32, 'Unidad 3'!AH32, 'Unidad 4'!AH32)/4, ""), "")</f>
        <v/>
      </c>
      <c r="AI32" s="36"/>
      <c r="AJ32" s="34"/>
      <c r="AK32" s="36"/>
      <c r="AL32" s="18" t="str">
        <f t="shared" si="0"/>
        <v/>
      </c>
      <c r="AM32" s="2"/>
    </row>
    <row r="33" spans="1:39" ht="15" thickBot="1" x14ac:dyDescent="0.35">
      <c r="A33" s="2"/>
      <c r="B33" s="4">
        <v>29</v>
      </c>
      <c r="C33" s="2"/>
      <c r="D33" s="7" t="str">
        <f>IF('Datos Generales'!C72&lt;&gt;"", 'Datos Generales'!C72, "")</f>
        <v/>
      </c>
      <c r="E33" s="2"/>
      <c r="F33" s="34" t="str">
        <f>IF($D33&lt;&gt;"", IF(F$2&lt;&gt;"", SUM('Unidad 1'!F33, 'Unidad 2'!#REF!, 'Unidad 3'!F33, 'Unidad 4'!F33)/4, ""), "")</f>
        <v/>
      </c>
      <c r="G33" s="36"/>
      <c r="H33" s="34" t="str">
        <f>IF($D33&lt;&gt;"", IF(H$2&lt;&gt;"", SUM('Unidad 1'!H33, 'Unidad 2'!#REF!, 'Unidad 3'!H33, 'Unidad 4'!H33)/4, ""), "")</f>
        <v/>
      </c>
      <c r="I33" s="36"/>
      <c r="J33" s="34" t="str">
        <f>IF($D33&lt;&gt;"", IF(J$2&lt;&gt;"", SUM('Unidad 1'!J33, 'Unidad 2'!#REF!, 'Unidad 3'!J33, 'Unidad 4'!J33)/4, ""), "")</f>
        <v/>
      </c>
      <c r="K33" s="36"/>
      <c r="L33" s="34" t="str">
        <f>IF($D33&lt;&gt;"", IF(L$2&lt;&gt;"", SUM('Unidad 1'!L33, 'Unidad 2'!#REF!, 'Unidad 3'!L33, 'Unidad 4'!L33)/4, ""), "")</f>
        <v/>
      </c>
      <c r="M33" s="36"/>
      <c r="N33" s="34" t="str">
        <f>IF($D33&lt;&gt;"", IF(N$2&lt;&gt;"", SUM('Unidad 1'!N33, 'Unidad 2'!#REF!, 'Unidad 3'!N33, 'Unidad 4'!N33)/4, ""), "")</f>
        <v/>
      </c>
      <c r="O33" s="36"/>
      <c r="P33" s="34" t="str">
        <f>IF($D33&lt;&gt;"", IF(P$2&lt;&gt;"", SUM('Unidad 1'!P33, 'Unidad 2'!#REF!, 'Unidad 3'!P33, 'Unidad 4'!P33)/4, ""), "")</f>
        <v/>
      </c>
      <c r="Q33" s="36"/>
      <c r="R33" s="34" t="str">
        <f>IF($D33&lt;&gt;"", IF(R$2&lt;&gt;"", SUM('Unidad 1'!R33, 'Unidad 2'!#REF!, 'Unidad 3'!R33, 'Unidad 4'!R33)/4, ""), "")</f>
        <v/>
      </c>
      <c r="S33" s="36"/>
      <c r="T33" s="34" t="str">
        <f>IF($D33&lt;&gt;"", IF(T$2&lt;&gt;"", SUM('Unidad 1'!T33, 'Unidad 2'!#REF!, 'Unidad 3'!T33, 'Unidad 4'!T33)/4, ""), "")</f>
        <v/>
      </c>
      <c r="U33" s="36"/>
      <c r="V33" s="34" t="str">
        <f>IF($D33&lt;&gt;"", IF(V$2&lt;&gt;"", SUM('Unidad 1'!V33, 'Unidad 2'!#REF!, 'Unidad 3'!V33, 'Unidad 4'!V33)/4, ""), "")</f>
        <v/>
      </c>
      <c r="W33" s="36"/>
      <c r="X33" s="34" t="str">
        <f>IF($D33&lt;&gt;"", IF(X$2&lt;&gt;"", SUM('Unidad 1'!X33, 'Unidad 2'!#REF!, 'Unidad 3'!X33, 'Unidad 4'!X33)/4, ""), "")</f>
        <v/>
      </c>
      <c r="Y33" s="36"/>
      <c r="Z33" s="34" t="str">
        <f>IF($D33&lt;&gt;"", IF(Z$2&lt;&gt;"", SUM('Unidad 1'!Z33, 'Unidad 2'!Z33, 'Unidad 3'!Z33, 'Unidad 4'!Z33)/4, ""), "")</f>
        <v/>
      </c>
      <c r="AA33" s="36"/>
      <c r="AB33" s="34" t="str">
        <f>IF($D33&lt;&gt;"", IF(AB$2&lt;&gt;"", SUM('Unidad 1'!AB33, 'Unidad 2'!AB33, 'Unidad 3'!AB33, 'Unidad 4'!AB33)/4, ""), "")</f>
        <v/>
      </c>
      <c r="AC33" s="37"/>
      <c r="AD33" s="34" t="str">
        <f>IF($D33&lt;&gt;"", IF(AD$2&lt;&gt;"", SUM('Unidad 1'!AD33, 'Unidad 2'!AD33, 'Unidad 3'!AD33, 'Unidad 4'!AD33)/4, ""), "")</f>
        <v/>
      </c>
      <c r="AE33" s="36"/>
      <c r="AF33" s="34" t="str">
        <f>IF($D33&lt;&gt;"", IF(AF$2&lt;&gt;"", SUM('Unidad 1'!AF33, 'Unidad 2'!AF33, 'Unidad 3'!AF33, 'Unidad 4'!AF33)/4, ""), "")</f>
        <v/>
      </c>
      <c r="AG33" s="36"/>
      <c r="AH33" s="34" t="str">
        <f>IF($D33&lt;&gt;"", IF(AH$2&lt;&gt;"", SUM('Unidad 1'!AH33, 'Unidad 2'!AH33, 'Unidad 3'!AH33, 'Unidad 4'!AH33)/4, ""), "")</f>
        <v/>
      </c>
      <c r="AI33" s="36"/>
      <c r="AJ33" s="34"/>
      <c r="AK33" s="36"/>
      <c r="AL33" s="18" t="str">
        <f t="shared" si="0"/>
        <v/>
      </c>
      <c r="AM33" s="2"/>
    </row>
    <row r="34" spans="1:39" ht="15" thickBot="1" x14ac:dyDescent="0.35">
      <c r="A34" s="2"/>
      <c r="B34" s="4">
        <v>30</v>
      </c>
      <c r="C34" s="2"/>
      <c r="D34" s="7" t="str">
        <f>IF('Datos Generales'!C73&lt;&gt;"", 'Datos Generales'!C73, "")</f>
        <v/>
      </c>
      <c r="E34" s="2"/>
      <c r="F34" s="34" t="str">
        <f>IF($D34&lt;&gt;"", IF(F$2&lt;&gt;"", SUM('Unidad 1'!F34, 'Unidad 2'!#REF!, 'Unidad 3'!F34, 'Unidad 4'!F34)/4, ""), "")</f>
        <v/>
      </c>
      <c r="G34" s="36"/>
      <c r="H34" s="34" t="str">
        <f>IF($D34&lt;&gt;"", IF(H$2&lt;&gt;"", SUM('Unidad 1'!H34, 'Unidad 2'!#REF!, 'Unidad 3'!H34, 'Unidad 4'!H34)/4, ""), "")</f>
        <v/>
      </c>
      <c r="I34" s="36"/>
      <c r="J34" s="34" t="str">
        <f>IF($D34&lt;&gt;"", IF(J$2&lt;&gt;"", SUM('Unidad 1'!J34, 'Unidad 2'!#REF!, 'Unidad 3'!J34, 'Unidad 4'!J34)/4, ""), "")</f>
        <v/>
      </c>
      <c r="K34" s="36"/>
      <c r="L34" s="34" t="str">
        <f>IF($D34&lt;&gt;"", IF(L$2&lt;&gt;"", SUM('Unidad 1'!L34, 'Unidad 2'!#REF!, 'Unidad 3'!L34, 'Unidad 4'!L34)/4, ""), "")</f>
        <v/>
      </c>
      <c r="M34" s="36"/>
      <c r="N34" s="34" t="str">
        <f>IF($D34&lt;&gt;"", IF(N$2&lt;&gt;"", SUM('Unidad 1'!N34, 'Unidad 2'!#REF!, 'Unidad 3'!N34, 'Unidad 4'!N34)/4, ""), "")</f>
        <v/>
      </c>
      <c r="O34" s="36"/>
      <c r="P34" s="34" t="str">
        <f>IF($D34&lt;&gt;"", IF(P$2&lt;&gt;"", SUM('Unidad 1'!P34, 'Unidad 2'!#REF!, 'Unidad 3'!P34, 'Unidad 4'!P34)/4, ""), "")</f>
        <v/>
      </c>
      <c r="Q34" s="36"/>
      <c r="R34" s="34" t="str">
        <f>IF($D34&lt;&gt;"", IF(R$2&lt;&gt;"", SUM('Unidad 1'!R34, 'Unidad 2'!#REF!, 'Unidad 3'!R34, 'Unidad 4'!R34)/4, ""), "")</f>
        <v/>
      </c>
      <c r="S34" s="36"/>
      <c r="T34" s="34" t="str">
        <f>IF($D34&lt;&gt;"", IF(T$2&lt;&gt;"", SUM('Unidad 1'!T34, 'Unidad 2'!#REF!, 'Unidad 3'!T34, 'Unidad 4'!T34)/4, ""), "")</f>
        <v/>
      </c>
      <c r="U34" s="36"/>
      <c r="V34" s="34" t="str">
        <f>IF($D34&lt;&gt;"", IF(V$2&lt;&gt;"", SUM('Unidad 1'!V34, 'Unidad 2'!#REF!, 'Unidad 3'!V34, 'Unidad 4'!V34)/4, ""), "")</f>
        <v/>
      </c>
      <c r="W34" s="36"/>
      <c r="X34" s="34" t="str">
        <f>IF($D34&lt;&gt;"", IF(X$2&lt;&gt;"", SUM('Unidad 1'!X34, 'Unidad 2'!#REF!, 'Unidad 3'!X34, 'Unidad 4'!X34)/4, ""), "")</f>
        <v/>
      </c>
      <c r="Y34" s="36"/>
      <c r="Z34" s="34" t="str">
        <f>IF($D34&lt;&gt;"", IF(Z$2&lt;&gt;"", SUM('Unidad 1'!Z34, 'Unidad 2'!Z34, 'Unidad 3'!Z34, 'Unidad 4'!Z34)/4, ""), "")</f>
        <v/>
      </c>
      <c r="AA34" s="36"/>
      <c r="AB34" s="34" t="str">
        <f>IF($D34&lt;&gt;"", IF(AB$2&lt;&gt;"", SUM('Unidad 1'!AB34, 'Unidad 2'!AB34, 'Unidad 3'!AB34, 'Unidad 4'!AB34)/4, ""), "")</f>
        <v/>
      </c>
      <c r="AC34" s="37"/>
      <c r="AD34" s="34" t="str">
        <f>IF($D34&lt;&gt;"", IF(AD$2&lt;&gt;"", SUM('Unidad 1'!AD34, 'Unidad 2'!AD34, 'Unidad 3'!AD34, 'Unidad 4'!AD34)/4, ""), "")</f>
        <v/>
      </c>
      <c r="AE34" s="36"/>
      <c r="AF34" s="34" t="str">
        <f>IF($D34&lt;&gt;"", IF(AF$2&lt;&gt;"", SUM('Unidad 1'!AF34, 'Unidad 2'!AF34, 'Unidad 3'!AF34, 'Unidad 4'!AF34)/4, ""), "")</f>
        <v/>
      </c>
      <c r="AG34" s="36"/>
      <c r="AH34" s="34" t="str">
        <f>IF($D34&lt;&gt;"", IF(AH$2&lt;&gt;"", SUM('Unidad 1'!AH34, 'Unidad 2'!AH34, 'Unidad 3'!AH34, 'Unidad 4'!AH34)/4, ""), "")</f>
        <v/>
      </c>
      <c r="AI34" s="36"/>
      <c r="AJ34" s="34"/>
      <c r="AK34" s="36"/>
      <c r="AL34" s="18" t="str">
        <f t="shared" si="0"/>
        <v/>
      </c>
      <c r="AM34" s="2"/>
    </row>
    <row r="35" spans="1:39" ht="15" thickBot="1" x14ac:dyDescent="0.35">
      <c r="A35" s="2"/>
      <c r="B35" s="4">
        <v>31</v>
      </c>
      <c r="C35" s="2"/>
      <c r="D35" s="7" t="str">
        <f>IF('Datos Generales'!C74&lt;&gt;"", 'Datos Generales'!C74, "")</f>
        <v/>
      </c>
      <c r="E35" s="2"/>
      <c r="F35" s="34" t="str">
        <f>IF($D35&lt;&gt;"", IF(F$2&lt;&gt;"", SUM('Unidad 1'!F35, 'Unidad 2'!#REF!, 'Unidad 3'!F35, 'Unidad 4'!F35)/4, ""), "")</f>
        <v/>
      </c>
      <c r="G35" s="36"/>
      <c r="H35" s="34" t="str">
        <f>IF($D35&lt;&gt;"", IF(H$2&lt;&gt;"", SUM('Unidad 1'!H35, 'Unidad 2'!#REF!, 'Unidad 3'!H35, 'Unidad 4'!H35)/4, ""), "")</f>
        <v/>
      </c>
      <c r="I35" s="36"/>
      <c r="J35" s="34" t="str">
        <f>IF($D35&lt;&gt;"", IF(J$2&lt;&gt;"", SUM('Unidad 1'!J35, 'Unidad 2'!#REF!, 'Unidad 3'!J35, 'Unidad 4'!J35)/4, ""), "")</f>
        <v/>
      </c>
      <c r="K35" s="36"/>
      <c r="L35" s="34" t="str">
        <f>IF($D35&lt;&gt;"", IF(L$2&lt;&gt;"", SUM('Unidad 1'!L35, 'Unidad 2'!#REF!, 'Unidad 3'!L35, 'Unidad 4'!L35)/4, ""), "")</f>
        <v/>
      </c>
      <c r="M35" s="36"/>
      <c r="N35" s="34" t="str">
        <f>IF($D35&lt;&gt;"", IF(N$2&lt;&gt;"", SUM('Unidad 1'!N35, 'Unidad 2'!#REF!, 'Unidad 3'!N35, 'Unidad 4'!N35)/4, ""), "")</f>
        <v/>
      </c>
      <c r="O35" s="36"/>
      <c r="P35" s="34" t="str">
        <f>IF($D35&lt;&gt;"", IF(P$2&lt;&gt;"", SUM('Unidad 1'!P35, 'Unidad 2'!#REF!, 'Unidad 3'!P35, 'Unidad 4'!P35)/4, ""), "")</f>
        <v/>
      </c>
      <c r="Q35" s="36"/>
      <c r="R35" s="34" t="str">
        <f>IF($D35&lt;&gt;"", IF(R$2&lt;&gt;"", SUM('Unidad 1'!R35, 'Unidad 2'!#REF!, 'Unidad 3'!R35, 'Unidad 4'!R35)/4, ""), "")</f>
        <v/>
      </c>
      <c r="S35" s="36"/>
      <c r="T35" s="34" t="str">
        <f>IF($D35&lt;&gt;"", IF(T$2&lt;&gt;"", SUM('Unidad 1'!T35, 'Unidad 2'!#REF!, 'Unidad 3'!T35, 'Unidad 4'!T35)/4, ""), "")</f>
        <v/>
      </c>
      <c r="U35" s="36"/>
      <c r="V35" s="34" t="str">
        <f>IF($D35&lt;&gt;"", IF(V$2&lt;&gt;"", SUM('Unidad 1'!V35, 'Unidad 2'!#REF!, 'Unidad 3'!V35, 'Unidad 4'!V35)/4, ""), "")</f>
        <v/>
      </c>
      <c r="W35" s="36"/>
      <c r="X35" s="34" t="str">
        <f>IF($D35&lt;&gt;"", IF(X$2&lt;&gt;"", SUM('Unidad 1'!X35, 'Unidad 2'!#REF!, 'Unidad 3'!X35, 'Unidad 4'!X35)/4, ""), "")</f>
        <v/>
      </c>
      <c r="Y35" s="36"/>
      <c r="Z35" s="34" t="str">
        <f>IF($D35&lt;&gt;"", IF(Z$2&lt;&gt;"", SUM('Unidad 1'!Z35, 'Unidad 2'!Z35, 'Unidad 3'!Z35, 'Unidad 4'!Z35)/4, ""), "")</f>
        <v/>
      </c>
      <c r="AA35" s="36"/>
      <c r="AB35" s="34" t="str">
        <f>IF($D35&lt;&gt;"", IF(AB$2&lt;&gt;"", SUM('Unidad 1'!AB35, 'Unidad 2'!AB35, 'Unidad 3'!AB35, 'Unidad 4'!AB35)/4, ""), "")</f>
        <v/>
      </c>
      <c r="AC35" s="37"/>
      <c r="AD35" s="34" t="str">
        <f>IF($D35&lt;&gt;"", IF(AD$2&lt;&gt;"", SUM('Unidad 1'!AD35, 'Unidad 2'!AD35, 'Unidad 3'!AD35, 'Unidad 4'!AD35)/4, ""), "")</f>
        <v/>
      </c>
      <c r="AE35" s="36"/>
      <c r="AF35" s="34" t="str">
        <f>IF($D35&lt;&gt;"", IF(AF$2&lt;&gt;"", SUM('Unidad 1'!AF35, 'Unidad 2'!AF35, 'Unidad 3'!AF35, 'Unidad 4'!AF35)/4, ""), "")</f>
        <v/>
      </c>
      <c r="AG35" s="36"/>
      <c r="AH35" s="34" t="str">
        <f>IF($D35&lt;&gt;"", IF(AH$2&lt;&gt;"", SUM('Unidad 1'!AH35, 'Unidad 2'!AH35, 'Unidad 3'!AH35, 'Unidad 4'!AH35)/4, ""), "")</f>
        <v/>
      </c>
      <c r="AI35" s="36"/>
      <c r="AJ35" s="34"/>
      <c r="AK35" s="36"/>
      <c r="AL35" s="18" t="str">
        <f t="shared" si="0"/>
        <v/>
      </c>
      <c r="AM35" s="2"/>
    </row>
    <row r="36" spans="1:39" ht="15" thickBot="1" x14ac:dyDescent="0.35">
      <c r="A36" s="2"/>
      <c r="B36" s="4">
        <v>32</v>
      </c>
      <c r="C36" s="2"/>
      <c r="D36" s="7" t="str">
        <f>IF('Datos Generales'!C75&lt;&gt;"", 'Datos Generales'!C75, "")</f>
        <v/>
      </c>
      <c r="E36" s="2"/>
      <c r="F36" s="34" t="str">
        <f>IF($D36&lt;&gt;"", IF(F$2&lt;&gt;"", SUM('Unidad 1'!F36, 'Unidad 2'!F36, 'Unidad 3'!F36, 'Unidad 4'!F36)/4, ""), "")</f>
        <v/>
      </c>
      <c r="G36" s="36"/>
      <c r="H36" s="34" t="str">
        <f>IF($D36&lt;&gt;"", IF(H$2&lt;&gt;"", SUM('Unidad 1'!H36, 'Unidad 2'!H36, 'Unidad 3'!H36, 'Unidad 4'!H36)/4, ""), "")</f>
        <v/>
      </c>
      <c r="I36" s="36"/>
      <c r="J36" s="34" t="str">
        <f>IF($D36&lt;&gt;"", IF(J$2&lt;&gt;"", SUM('Unidad 1'!J36, 'Unidad 2'!J36, 'Unidad 3'!J36, 'Unidad 4'!J36)/4, ""), "")</f>
        <v/>
      </c>
      <c r="K36" s="36"/>
      <c r="L36" s="34" t="str">
        <f>IF($D36&lt;&gt;"", IF(L$2&lt;&gt;"", SUM('Unidad 1'!L36, 'Unidad 2'!L36, 'Unidad 3'!L36, 'Unidad 4'!L36)/4, ""), "")</f>
        <v/>
      </c>
      <c r="M36" s="36"/>
      <c r="N36" s="34" t="str">
        <f>IF($D36&lt;&gt;"", IF(N$2&lt;&gt;"", SUM('Unidad 1'!N36, 'Unidad 2'!N36, 'Unidad 3'!N36, 'Unidad 4'!N36)/4, ""), "")</f>
        <v/>
      </c>
      <c r="O36" s="36"/>
      <c r="P36" s="34" t="str">
        <f>IF($D36&lt;&gt;"", IF(P$2&lt;&gt;"", SUM('Unidad 1'!P36, 'Unidad 2'!P36, 'Unidad 3'!P36, 'Unidad 4'!P36)/4, ""), "")</f>
        <v/>
      </c>
      <c r="Q36" s="36"/>
      <c r="R36" s="34" t="str">
        <f>IF($D36&lt;&gt;"", IF(R$2&lt;&gt;"", SUM('Unidad 1'!R36, 'Unidad 2'!R36, 'Unidad 3'!R36, 'Unidad 4'!R36)/4, ""), "")</f>
        <v/>
      </c>
      <c r="S36" s="36"/>
      <c r="T36" s="34" t="str">
        <f>IF($D36&lt;&gt;"", IF(T$2&lt;&gt;"", SUM('Unidad 1'!T36, 'Unidad 2'!T36, 'Unidad 3'!T36, 'Unidad 4'!T36)/4, ""), "")</f>
        <v/>
      </c>
      <c r="U36" s="36"/>
      <c r="V36" s="34" t="str">
        <f>IF($D36&lt;&gt;"", IF(V$2&lt;&gt;"", SUM('Unidad 1'!V36, 'Unidad 2'!V36, 'Unidad 3'!V36, 'Unidad 4'!V36)/4, ""), "")</f>
        <v/>
      </c>
      <c r="W36" s="36"/>
      <c r="X36" s="34" t="str">
        <f>IF($D36&lt;&gt;"", IF(X$2&lt;&gt;"", SUM('Unidad 1'!X36, 'Unidad 2'!X36, 'Unidad 3'!X36, 'Unidad 4'!X36)/4, ""), "")</f>
        <v/>
      </c>
      <c r="Y36" s="36"/>
      <c r="Z36" s="34" t="str">
        <f>IF($D36&lt;&gt;"", IF(Z$2&lt;&gt;"", SUM('Unidad 1'!Z36, 'Unidad 2'!Z36, 'Unidad 3'!Z36, 'Unidad 4'!Z36)/4, ""), "")</f>
        <v/>
      </c>
      <c r="AA36" s="36"/>
      <c r="AB36" s="34" t="str">
        <f>IF($D36&lt;&gt;"", IF(AB$2&lt;&gt;"", SUM('Unidad 1'!AB36, 'Unidad 2'!AB36, 'Unidad 3'!AB36, 'Unidad 4'!AB36)/4, ""), "")</f>
        <v/>
      </c>
      <c r="AC36" s="37"/>
      <c r="AD36" s="34" t="str">
        <f>IF($D36&lt;&gt;"", IF(AD$2&lt;&gt;"", SUM('Unidad 1'!AD36, 'Unidad 2'!AD36, 'Unidad 3'!AD36, 'Unidad 4'!AD36)/4, ""), "")</f>
        <v/>
      </c>
      <c r="AE36" s="36"/>
      <c r="AF36" s="34" t="str">
        <f>IF($D36&lt;&gt;"", IF(AF$2&lt;&gt;"", SUM('Unidad 1'!AF36, 'Unidad 2'!AF36, 'Unidad 3'!AF36, 'Unidad 4'!AF36)/4, ""), "")</f>
        <v/>
      </c>
      <c r="AG36" s="36"/>
      <c r="AH36" s="34" t="str">
        <f>IF($D36&lt;&gt;"", IF(AH$2&lt;&gt;"", SUM('Unidad 1'!AH36, 'Unidad 2'!AH36, 'Unidad 3'!AH36, 'Unidad 4'!AH36)/4, ""), "")</f>
        <v/>
      </c>
      <c r="AI36" s="36"/>
      <c r="AJ36" s="34"/>
      <c r="AK36" s="36"/>
      <c r="AL36" s="18" t="str">
        <f t="shared" si="0"/>
        <v/>
      </c>
      <c r="AM36" s="2"/>
    </row>
    <row r="37" spans="1:39" ht="15" thickBot="1" x14ac:dyDescent="0.35">
      <c r="A37" s="2"/>
      <c r="B37" s="4">
        <v>33</v>
      </c>
      <c r="C37" s="2"/>
      <c r="D37" s="7" t="str">
        <f>IF('Datos Generales'!C76&lt;&gt;"", 'Datos Generales'!C76, "")</f>
        <v/>
      </c>
      <c r="E37" s="2"/>
      <c r="F37" s="34" t="str">
        <f>IF($D37&lt;&gt;"", IF(F$2&lt;&gt;"", SUM('Unidad 1'!F37, 'Unidad 2'!F37, 'Unidad 3'!F37, 'Unidad 4'!F37)/4, ""), "")</f>
        <v/>
      </c>
      <c r="G37" s="36"/>
      <c r="H37" s="34" t="str">
        <f>IF($D37&lt;&gt;"", IF(H$2&lt;&gt;"", SUM('Unidad 1'!H37, 'Unidad 2'!H37, 'Unidad 3'!H37, 'Unidad 4'!H37)/4, ""), "")</f>
        <v/>
      </c>
      <c r="I37" s="36"/>
      <c r="J37" s="34" t="str">
        <f>IF($D37&lt;&gt;"", IF(J$2&lt;&gt;"", SUM('Unidad 1'!J37, 'Unidad 2'!J37, 'Unidad 3'!J37, 'Unidad 4'!J37)/4, ""), "")</f>
        <v/>
      </c>
      <c r="K37" s="36"/>
      <c r="L37" s="34" t="str">
        <f>IF($D37&lt;&gt;"", IF(L$2&lt;&gt;"", SUM('Unidad 1'!L37, 'Unidad 2'!L37, 'Unidad 3'!L37, 'Unidad 4'!L37)/4, ""), "")</f>
        <v/>
      </c>
      <c r="M37" s="36"/>
      <c r="N37" s="34" t="str">
        <f>IF($D37&lt;&gt;"", IF(N$2&lt;&gt;"", SUM('Unidad 1'!N37, 'Unidad 2'!N37, 'Unidad 3'!N37, 'Unidad 4'!N37)/4, ""), "")</f>
        <v/>
      </c>
      <c r="O37" s="36"/>
      <c r="P37" s="34" t="str">
        <f>IF($D37&lt;&gt;"", IF(P$2&lt;&gt;"", SUM('Unidad 1'!P37, 'Unidad 2'!P37, 'Unidad 3'!P37, 'Unidad 4'!P37)/4, ""), "")</f>
        <v/>
      </c>
      <c r="Q37" s="36"/>
      <c r="R37" s="34" t="str">
        <f>IF($D37&lt;&gt;"", IF(R$2&lt;&gt;"", SUM('Unidad 1'!R37, 'Unidad 2'!R37, 'Unidad 3'!R37, 'Unidad 4'!R37)/4, ""), "")</f>
        <v/>
      </c>
      <c r="S37" s="36"/>
      <c r="T37" s="34" t="str">
        <f>IF($D37&lt;&gt;"", IF(T$2&lt;&gt;"", SUM('Unidad 1'!T37, 'Unidad 2'!T37, 'Unidad 3'!T37, 'Unidad 4'!T37)/4, ""), "")</f>
        <v/>
      </c>
      <c r="U37" s="36"/>
      <c r="V37" s="34" t="str">
        <f>IF($D37&lt;&gt;"", IF(V$2&lt;&gt;"", SUM('Unidad 1'!V37, 'Unidad 2'!V37, 'Unidad 3'!V37, 'Unidad 4'!V37)/4, ""), "")</f>
        <v/>
      </c>
      <c r="W37" s="36"/>
      <c r="X37" s="34" t="str">
        <f>IF($D37&lt;&gt;"", IF(X$2&lt;&gt;"", SUM('Unidad 1'!X37, 'Unidad 2'!X37, 'Unidad 3'!X37, 'Unidad 4'!X37)/4, ""), "")</f>
        <v/>
      </c>
      <c r="Y37" s="36"/>
      <c r="Z37" s="34" t="str">
        <f>IF($D37&lt;&gt;"", IF(Z$2&lt;&gt;"", SUM('Unidad 1'!Z37, 'Unidad 2'!Z37, 'Unidad 3'!Z37, 'Unidad 4'!Z37)/4, ""), "")</f>
        <v/>
      </c>
      <c r="AA37" s="36"/>
      <c r="AB37" s="34" t="str">
        <f>IF($D37&lt;&gt;"", IF(AB$2&lt;&gt;"", SUM('Unidad 1'!AB37, 'Unidad 2'!AB37, 'Unidad 3'!AB37, 'Unidad 4'!AB37)/4, ""), "")</f>
        <v/>
      </c>
      <c r="AC37" s="37"/>
      <c r="AD37" s="34" t="str">
        <f>IF($D37&lt;&gt;"", IF(AD$2&lt;&gt;"", SUM('Unidad 1'!AD37, 'Unidad 2'!AD37, 'Unidad 3'!AD37, 'Unidad 4'!AD37)/4, ""), "")</f>
        <v/>
      </c>
      <c r="AE37" s="36"/>
      <c r="AF37" s="34" t="str">
        <f>IF($D37&lt;&gt;"", IF(AF$2&lt;&gt;"", SUM('Unidad 1'!AF37, 'Unidad 2'!AF37, 'Unidad 3'!AF37, 'Unidad 4'!AF37)/4, ""), "")</f>
        <v/>
      </c>
      <c r="AG37" s="36"/>
      <c r="AH37" s="34" t="str">
        <f>IF($D37&lt;&gt;"", IF(AH$2&lt;&gt;"", SUM('Unidad 1'!AH37, 'Unidad 2'!AH37, 'Unidad 3'!AH37, 'Unidad 4'!AH37)/4, ""), "")</f>
        <v/>
      </c>
      <c r="AI37" s="36"/>
      <c r="AJ37" s="34"/>
      <c r="AK37" s="36"/>
      <c r="AL37" s="18" t="str">
        <f t="shared" si="0"/>
        <v/>
      </c>
      <c r="AM37" s="2"/>
    </row>
    <row r="38" spans="1:39" ht="15" thickBot="1" x14ac:dyDescent="0.35">
      <c r="A38" s="2"/>
      <c r="B38" s="4">
        <v>34</v>
      </c>
      <c r="C38" s="2"/>
      <c r="D38" s="7" t="str">
        <f>IF('Datos Generales'!C77&lt;&gt;"", 'Datos Generales'!C77, "")</f>
        <v/>
      </c>
      <c r="E38" s="2"/>
      <c r="F38" s="34" t="str">
        <f>IF($D38&lt;&gt;"", IF(F$2&lt;&gt;"", SUM('Unidad 1'!F38, 'Unidad 2'!#REF!, 'Unidad 3'!F38, 'Unidad 4'!F38)/4, ""), "")</f>
        <v/>
      </c>
      <c r="G38" s="36"/>
      <c r="H38" s="34" t="str">
        <f>IF($D38&lt;&gt;"", IF(H$2&lt;&gt;"", SUM('Unidad 1'!H38, 'Unidad 2'!#REF!, 'Unidad 3'!H38, 'Unidad 4'!H38)/4, ""), "")</f>
        <v/>
      </c>
      <c r="I38" s="36"/>
      <c r="J38" s="34" t="str">
        <f>IF($D38&lt;&gt;"", IF(J$2&lt;&gt;"", SUM('Unidad 1'!J38, 'Unidad 2'!#REF!, 'Unidad 3'!J38, 'Unidad 4'!J38)/4, ""), "")</f>
        <v/>
      </c>
      <c r="K38" s="36"/>
      <c r="L38" s="34" t="str">
        <f>IF($D38&lt;&gt;"", IF(L$2&lt;&gt;"", SUM('Unidad 1'!L38, 'Unidad 2'!#REF!, 'Unidad 3'!L38, 'Unidad 4'!L38)/4, ""), "")</f>
        <v/>
      </c>
      <c r="M38" s="36"/>
      <c r="N38" s="34" t="str">
        <f>IF($D38&lt;&gt;"", IF(N$2&lt;&gt;"", SUM('Unidad 1'!N38, 'Unidad 2'!#REF!, 'Unidad 3'!N38, 'Unidad 4'!N38)/4, ""), "")</f>
        <v/>
      </c>
      <c r="O38" s="36"/>
      <c r="P38" s="34" t="str">
        <f>IF($D38&lt;&gt;"", IF(P$2&lt;&gt;"", SUM('Unidad 1'!P38, 'Unidad 2'!#REF!, 'Unidad 3'!P38, 'Unidad 4'!P38)/4, ""), "")</f>
        <v/>
      </c>
      <c r="Q38" s="36"/>
      <c r="R38" s="34" t="str">
        <f>IF($D38&lt;&gt;"", IF(R$2&lt;&gt;"", SUM('Unidad 1'!R38, 'Unidad 2'!#REF!, 'Unidad 3'!R38, 'Unidad 4'!R38)/4, ""), "")</f>
        <v/>
      </c>
      <c r="S38" s="36"/>
      <c r="T38" s="34" t="str">
        <f>IF($D38&lt;&gt;"", IF(T$2&lt;&gt;"", SUM('Unidad 1'!T38, 'Unidad 2'!#REF!, 'Unidad 3'!T38, 'Unidad 4'!T38)/4, ""), "")</f>
        <v/>
      </c>
      <c r="U38" s="36"/>
      <c r="V38" s="34" t="str">
        <f>IF($D38&lt;&gt;"", IF(V$2&lt;&gt;"", SUM('Unidad 1'!V38, 'Unidad 2'!#REF!, 'Unidad 3'!V38, 'Unidad 4'!V38)/4, ""), "")</f>
        <v/>
      </c>
      <c r="W38" s="36"/>
      <c r="X38" s="34" t="str">
        <f>IF($D38&lt;&gt;"", IF(X$2&lt;&gt;"", SUM('Unidad 1'!X38, 'Unidad 2'!#REF!, 'Unidad 3'!X38, 'Unidad 4'!X38)/4, ""), "")</f>
        <v/>
      </c>
      <c r="Y38" s="36"/>
      <c r="Z38" s="34" t="str">
        <f>IF($D38&lt;&gt;"", IF(Z$2&lt;&gt;"", SUM('Unidad 1'!Z38, 'Unidad 2'!Z38, 'Unidad 3'!Z38, 'Unidad 4'!Z38)/4, ""), "")</f>
        <v/>
      </c>
      <c r="AA38" s="36"/>
      <c r="AB38" s="34" t="str">
        <f>IF($D38&lt;&gt;"", IF(AB$2&lt;&gt;"", SUM('Unidad 1'!AB38, 'Unidad 2'!AB38, 'Unidad 3'!AB38, 'Unidad 4'!AB38)/4, ""), "")</f>
        <v/>
      </c>
      <c r="AC38" s="37"/>
      <c r="AD38" s="34" t="str">
        <f>IF($D38&lt;&gt;"", IF(AD$2&lt;&gt;"", SUM('Unidad 1'!AD38, 'Unidad 2'!AD38, 'Unidad 3'!AD38, 'Unidad 4'!AD38)/4, ""), "")</f>
        <v/>
      </c>
      <c r="AE38" s="36"/>
      <c r="AF38" s="34" t="str">
        <f>IF($D38&lt;&gt;"", IF(AF$2&lt;&gt;"", SUM('Unidad 1'!AF38, 'Unidad 2'!AF38, 'Unidad 3'!AF38, 'Unidad 4'!AF38)/4, ""), "")</f>
        <v/>
      </c>
      <c r="AG38" s="36"/>
      <c r="AH38" s="34" t="str">
        <f>IF($D38&lt;&gt;"", IF(AH$2&lt;&gt;"", SUM('Unidad 1'!AH38, 'Unidad 2'!AH38, 'Unidad 3'!AH38, 'Unidad 4'!AH38)/4, ""), "")</f>
        <v/>
      </c>
      <c r="AI38" s="36"/>
      <c r="AJ38" s="34"/>
      <c r="AK38" s="36"/>
      <c r="AL38" s="18" t="str">
        <f t="shared" si="0"/>
        <v/>
      </c>
      <c r="AM38" s="2"/>
    </row>
    <row r="39" spans="1:39" ht="15" thickBot="1" x14ac:dyDescent="0.35">
      <c r="A39" s="2"/>
      <c r="B39" s="4">
        <v>35</v>
      </c>
      <c r="C39" s="2"/>
      <c r="D39" s="7" t="str">
        <f>IF('Datos Generales'!C78&lt;&gt;"", 'Datos Generales'!C78, "")</f>
        <v/>
      </c>
      <c r="E39" s="2"/>
      <c r="F39" s="34" t="str">
        <f>IF($D39&lt;&gt;"", IF(F$2&lt;&gt;"", SUM('Unidad 1'!F39, 'Unidad 2'!F39, 'Unidad 3'!F39, 'Unidad 4'!F39)/4, ""), "")</f>
        <v/>
      </c>
      <c r="G39" s="36"/>
      <c r="H39" s="34" t="str">
        <f>IF($D39&lt;&gt;"", IF(H$2&lt;&gt;"", SUM('Unidad 1'!H39, 'Unidad 2'!H39, 'Unidad 3'!H39, 'Unidad 4'!H39)/4, ""), "")</f>
        <v/>
      </c>
      <c r="I39" s="36"/>
      <c r="J39" s="34" t="str">
        <f>IF($D39&lt;&gt;"", IF(J$2&lt;&gt;"", SUM('Unidad 1'!J39, 'Unidad 2'!J39, 'Unidad 3'!J39, 'Unidad 4'!J39)/4, ""), "")</f>
        <v/>
      </c>
      <c r="K39" s="36"/>
      <c r="L39" s="34" t="str">
        <f>IF($D39&lt;&gt;"", IF(L$2&lt;&gt;"", SUM('Unidad 1'!L39, 'Unidad 2'!L39, 'Unidad 3'!L39, 'Unidad 4'!L39)/4, ""), "")</f>
        <v/>
      </c>
      <c r="M39" s="36"/>
      <c r="N39" s="34" t="str">
        <f>IF($D39&lt;&gt;"", IF(N$2&lt;&gt;"", SUM('Unidad 1'!N39, 'Unidad 2'!N39, 'Unidad 3'!N39, 'Unidad 4'!N39)/4, ""), "")</f>
        <v/>
      </c>
      <c r="O39" s="36"/>
      <c r="P39" s="34" t="str">
        <f>IF($D39&lt;&gt;"", IF(P$2&lt;&gt;"", SUM('Unidad 1'!P39, 'Unidad 2'!P39, 'Unidad 3'!P39, 'Unidad 4'!P39)/4, ""), "")</f>
        <v/>
      </c>
      <c r="Q39" s="36"/>
      <c r="R39" s="34" t="str">
        <f>IF($D39&lt;&gt;"", IF(R$2&lt;&gt;"", SUM('Unidad 1'!R39, 'Unidad 2'!R39, 'Unidad 3'!R39, 'Unidad 4'!R39)/4, ""), "")</f>
        <v/>
      </c>
      <c r="S39" s="36"/>
      <c r="T39" s="34" t="str">
        <f>IF($D39&lt;&gt;"", IF(T$2&lt;&gt;"", SUM('Unidad 1'!T39, 'Unidad 2'!T39, 'Unidad 3'!T39, 'Unidad 4'!T39)/4, ""), "")</f>
        <v/>
      </c>
      <c r="U39" s="36"/>
      <c r="V39" s="34" t="str">
        <f>IF($D39&lt;&gt;"", IF(V$2&lt;&gt;"", SUM('Unidad 1'!V39, 'Unidad 2'!V39, 'Unidad 3'!V39, 'Unidad 4'!V39)/4, ""), "")</f>
        <v/>
      </c>
      <c r="W39" s="36"/>
      <c r="X39" s="34" t="str">
        <f>IF($D39&lt;&gt;"", IF(X$2&lt;&gt;"", SUM('Unidad 1'!X39, 'Unidad 2'!X39, 'Unidad 3'!X39, 'Unidad 4'!X39)/4, ""), "")</f>
        <v/>
      </c>
      <c r="Y39" s="36"/>
      <c r="Z39" s="34" t="str">
        <f>IF($D39&lt;&gt;"", IF(Z$2&lt;&gt;"", SUM('Unidad 1'!Z39, 'Unidad 2'!Z39, 'Unidad 3'!Z39, 'Unidad 4'!Z39)/4, ""), "")</f>
        <v/>
      </c>
      <c r="AA39" s="36"/>
      <c r="AB39" s="34" t="str">
        <f>IF($D39&lt;&gt;"", IF(AB$2&lt;&gt;"", SUM('Unidad 1'!AB39, 'Unidad 2'!AB39, 'Unidad 3'!AB39, 'Unidad 4'!AB39)/4, ""), "")</f>
        <v/>
      </c>
      <c r="AC39" s="37"/>
      <c r="AD39" s="34" t="str">
        <f>IF($D39&lt;&gt;"", IF(AD$2&lt;&gt;"", SUM('Unidad 1'!AD39, 'Unidad 2'!AD39, 'Unidad 3'!AD39, 'Unidad 4'!AD39)/4, ""), "")</f>
        <v/>
      </c>
      <c r="AE39" s="36"/>
      <c r="AF39" s="34" t="str">
        <f>IF($D39&lt;&gt;"", IF(AF$2&lt;&gt;"", SUM('Unidad 1'!AF39, 'Unidad 2'!AF39, 'Unidad 3'!AF39, 'Unidad 4'!AF39)/4, ""), "")</f>
        <v/>
      </c>
      <c r="AG39" s="36"/>
      <c r="AH39" s="34" t="str">
        <f>IF($D39&lt;&gt;"", IF(AH$2&lt;&gt;"", SUM('Unidad 1'!AH39, 'Unidad 2'!AH39, 'Unidad 3'!AH39, 'Unidad 4'!AH39)/4, ""), "")</f>
        <v/>
      </c>
      <c r="AI39" s="36"/>
      <c r="AJ39" s="34" t="e">
        <f>SUM(('Unidad 1'!AJ39+#REF!+#REF!+#REF!)/4)</f>
        <v>#REF!</v>
      </c>
      <c r="AK39" s="36"/>
      <c r="AL39" s="18" t="str">
        <f t="shared" si="0"/>
        <v/>
      </c>
      <c r="AM39" s="2"/>
    </row>
    <row r="40" spans="1:39" ht="8.1" customHeight="1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6"/>
      <c r="AD40" s="2"/>
      <c r="AE40" s="2"/>
      <c r="AF40" s="2"/>
      <c r="AG40" s="2"/>
      <c r="AH40" s="2"/>
      <c r="AI40" s="2"/>
      <c r="AJ40" s="2"/>
      <c r="AK40" s="2"/>
      <c r="AL40" s="2"/>
      <c r="AM40" s="2"/>
    </row>
  </sheetData>
  <mergeCells count="18">
    <mergeCell ref="F1:AL1"/>
    <mergeCell ref="X2:X3"/>
    <mergeCell ref="Z2:Z3"/>
    <mergeCell ref="AB2:AB3"/>
    <mergeCell ref="AD2:AD3"/>
    <mergeCell ref="AF2:AF3"/>
    <mergeCell ref="AH2:AH3"/>
    <mergeCell ref="F2:F3"/>
    <mergeCell ref="T2:T3"/>
    <mergeCell ref="V2:V3"/>
    <mergeCell ref="H2:H3"/>
    <mergeCell ref="J2:J3"/>
    <mergeCell ref="L2:L3"/>
    <mergeCell ref="N2:N3"/>
    <mergeCell ref="P2:P3"/>
    <mergeCell ref="R2:R3"/>
    <mergeCell ref="AJ2:AJ3"/>
    <mergeCell ref="AL2:AL3"/>
  </mergeCells>
  <conditionalFormatting sqref="F5:X29">
    <cfRule type="cellIs" dxfId="76" priority="1" operator="lessThan">
      <formula>60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horizontalDpi="4294967294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8" tint="-0.249977111117893"/>
  </sheetPr>
  <dimension ref="B6:H51"/>
  <sheetViews>
    <sheetView showGridLines="0" topLeftCell="A21" zoomScale="129" workbookViewId="0">
      <selection activeCell="G19" sqref="G19"/>
    </sheetView>
  </sheetViews>
  <sheetFormatPr baseColWidth="10" defaultColWidth="11.44140625" defaultRowHeight="14.4" x14ac:dyDescent="0.3"/>
  <cols>
    <col min="1" max="1" width="11.5546875" customWidth="1"/>
    <col min="2" max="2" width="0.6640625" customWidth="1"/>
    <col min="3" max="3" width="5.109375" customWidth="1"/>
    <col min="4" max="4" width="0.5546875" customWidth="1"/>
    <col min="5" max="5" width="33.6640625" customWidth="1"/>
    <col min="6" max="6" width="1" customWidth="1"/>
    <col min="8" max="8" width="0.5546875" customWidth="1"/>
  </cols>
  <sheetData>
    <row r="6" spans="2:8" x14ac:dyDescent="0.3">
      <c r="B6" s="119" t="str">
        <f>'Datos Generales'!C83</f>
        <v>Centro Socioeducativo "Lic. Magno Rudy Romero Arévalo"</v>
      </c>
      <c r="C6" s="119"/>
      <c r="D6" s="119"/>
      <c r="E6" s="119"/>
      <c r="F6" s="119"/>
      <c r="G6" s="119"/>
      <c r="H6" s="119"/>
    </row>
    <row r="7" spans="2:8" x14ac:dyDescent="0.3">
      <c r="B7" s="119" t="str">
        <f>'Datos Generales'!C84</f>
        <v>Ciclo Diversificado</v>
      </c>
      <c r="C7" s="119"/>
      <c r="D7" s="119"/>
      <c r="E7" s="119"/>
      <c r="F7" s="119"/>
      <c r="G7" s="119"/>
      <c r="H7" s="119"/>
    </row>
    <row r="9" spans="2:8" x14ac:dyDescent="0.3">
      <c r="B9" s="119" t="s">
        <v>13</v>
      </c>
      <c r="C9" s="119"/>
      <c r="D9" s="119"/>
      <c r="E9" s="119"/>
      <c r="F9" s="119"/>
      <c r="G9" s="119"/>
      <c r="H9" s="119"/>
    </row>
    <row r="10" spans="2:8" x14ac:dyDescent="0.3">
      <c r="B10" s="118" t="str">
        <f>'Datos Generales'!D10</f>
        <v>Ciclo Escolar 2026</v>
      </c>
      <c r="C10" s="118"/>
      <c r="D10" s="118"/>
      <c r="E10" s="118"/>
      <c r="F10" s="118"/>
      <c r="G10" s="118"/>
      <c r="H10" s="118"/>
    </row>
    <row r="11" spans="2:8" x14ac:dyDescent="0.3">
      <c r="B11" s="118"/>
      <c r="C11" s="118"/>
      <c r="D11" s="118"/>
      <c r="E11" s="118"/>
      <c r="F11" s="118"/>
      <c r="G11" s="118"/>
      <c r="H11" s="15"/>
    </row>
    <row r="12" spans="2:8" x14ac:dyDescent="0.3">
      <c r="B12" s="15"/>
      <c r="C12" s="118" t="str">
        <f>IF('Datos Generales'!D8&lt;&gt;"", 'Datos Generales'!D8, "Grado No Asignado")</f>
        <v>Quinto Bachillerato</v>
      </c>
      <c r="D12" s="118"/>
      <c r="E12" s="118"/>
      <c r="F12" s="118"/>
      <c r="G12" s="118"/>
      <c r="H12" s="15"/>
    </row>
    <row r="13" spans="2:8" x14ac:dyDescent="0.3">
      <c r="B13" s="15"/>
      <c r="C13" s="15"/>
      <c r="D13" s="15"/>
      <c r="E13" s="15"/>
      <c r="F13" s="15"/>
      <c r="G13" s="15"/>
      <c r="H13" s="15"/>
    </row>
    <row r="14" spans="2:8" ht="4.5" customHeight="1" x14ac:dyDescent="0.3">
      <c r="B14" s="17"/>
      <c r="C14" s="17"/>
      <c r="D14" s="17"/>
      <c r="E14" s="17"/>
      <c r="F14" s="17"/>
      <c r="G14" s="17"/>
      <c r="H14" s="17"/>
    </row>
    <row r="15" spans="2:8" x14ac:dyDescent="0.3">
      <c r="B15" s="17"/>
      <c r="C15" s="18" t="s">
        <v>14</v>
      </c>
      <c r="D15" s="19"/>
      <c r="E15" s="18" t="s">
        <v>1</v>
      </c>
      <c r="F15" s="19"/>
      <c r="G15" s="18" t="s">
        <v>15</v>
      </c>
      <c r="H15" s="17"/>
    </row>
    <row r="16" spans="2:8" x14ac:dyDescent="0.3">
      <c r="B16" s="17"/>
      <c r="C16" s="18">
        <v>1</v>
      </c>
      <c r="D16" s="17"/>
      <c r="E16" s="7" t="str">
        <f>IF('Datos Generales'!C44&lt;&gt;"", 'Datos Generales'!C44, "")</f>
        <v>Avilés Palacios, Christopher Alexandro</v>
      </c>
      <c r="F16" s="17"/>
      <c r="G16" s="47">
        <f ca="1">(('Estadistica Final'!F5)+('Estadistica Final'!H5)+('Estadistica Final'!J5)+('Estadistica Final'!L5)+('Estadistica Final'!N5)+('Estadistica Final'!P5)+('Estadistica Final'!R5)+('Estadistica Final'!T5)+('Estadistica Final'!V5)+('Estadistica Final'!X5))/10</f>
        <v>73.759999999999991</v>
      </c>
      <c r="H16" s="17"/>
    </row>
    <row r="17" spans="2:8" x14ac:dyDescent="0.3">
      <c r="B17" s="17"/>
      <c r="C17" s="18">
        <v>2</v>
      </c>
      <c r="D17" s="17"/>
      <c r="E17" s="7" t="str">
        <f>IF('Datos Generales'!C45&lt;&gt;"", 'Datos Generales'!C45, "")</f>
        <v>Estrada Kajihara, Yaretzi Hatsue</v>
      </c>
      <c r="F17" s="17"/>
      <c r="G17" s="47">
        <f ca="1">(('Estadistica Final'!F6)+('Estadistica Final'!H6)+('Estadistica Final'!J6)+('Estadistica Final'!L6)+('Estadistica Final'!N6)+('Estadistica Final'!P6)+('Estadistica Final'!R6)+('Estadistica Final'!T6)+('Estadistica Final'!V6)+('Estadistica Final'!X6))/10</f>
        <v>86.795000000000002</v>
      </c>
      <c r="H17" s="17"/>
    </row>
    <row r="18" spans="2:8" x14ac:dyDescent="0.3">
      <c r="B18" s="17"/>
      <c r="C18" s="18">
        <v>3</v>
      </c>
      <c r="D18" s="17"/>
      <c r="E18" s="7" t="str">
        <f>IF('Datos Generales'!C46&lt;&gt;"", 'Datos Generales'!C46, "")</f>
        <v>González Contreras, Joseph Ezequías</v>
      </c>
      <c r="F18" s="17"/>
      <c r="G18" s="47">
        <f ca="1">(('Estadistica Final'!F7)+('Estadistica Final'!H7)+('Estadistica Final'!J7)+('Estadistica Final'!L7)+('Estadistica Final'!N7)+('Estadistica Final'!P7)+('Estadistica Final'!R7)+('Estadistica Final'!T7)+('Estadistica Final'!V7)+('Estadistica Final'!X7))/10</f>
        <v>77.94</v>
      </c>
      <c r="H18" s="17"/>
    </row>
    <row r="19" spans="2:8" x14ac:dyDescent="0.3">
      <c r="B19" s="17"/>
      <c r="C19" s="18">
        <v>4</v>
      </c>
      <c r="D19" s="17"/>
      <c r="E19" s="7" t="str">
        <f>IF('Datos Generales'!C47&lt;&gt;"", 'Datos Generales'!C47, "")</f>
        <v>Lee Toribio, Jhefferson Harin</v>
      </c>
      <c r="F19" s="17"/>
      <c r="G19" s="47">
        <f ca="1">(('Estadistica Final'!F8)+('Estadistica Final'!H8)+('Estadistica Final'!J8)+('Estadistica Final'!L8)+('Estadistica Final'!N8)+('Estadistica Final'!P8)+('Estadistica Final'!R8)+('Estadistica Final'!T8)+('Estadistica Final'!V8)+('Estadistica Final'!X8))/10</f>
        <v>89.344999999999999</v>
      </c>
      <c r="H19" s="17"/>
    </row>
    <row r="20" spans="2:8" x14ac:dyDescent="0.3">
      <c r="B20" s="17"/>
      <c r="C20" s="18">
        <v>5</v>
      </c>
      <c r="D20" s="17"/>
      <c r="E20" s="7" t="str">
        <f>IF('Datos Generales'!C48&lt;&gt;"", 'Datos Generales'!C48, "")</f>
        <v>Lobos Cedillo, Luis Alejandro</v>
      </c>
      <c r="F20" s="17"/>
      <c r="G20" s="47">
        <f ca="1">(('Estadistica Final'!F9)+('Estadistica Final'!H9)+('Estadistica Final'!J9)+('Estadistica Final'!L9)+('Estadistica Final'!N9)+('Estadistica Final'!P9)+('Estadistica Final'!R9)+('Estadistica Final'!T9)+('Estadistica Final'!V9)+('Estadistica Final'!X9))/10</f>
        <v>72.674999999999997</v>
      </c>
      <c r="H20" s="17"/>
    </row>
    <row r="21" spans="2:8" x14ac:dyDescent="0.3">
      <c r="B21" s="17"/>
      <c r="C21" s="18">
        <v>6</v>
      </c>
      <c r="D21" s="17"/>
      <c r="E21" s="7" t="str">
        <f>IF('Datos Generales'!C49&lt;&gt;"", 'Datos Generales'!C49, "")</f>
        <v>López Martínez, Dafne Jasare</v>
      </c>
      <c r="F21" s="17"/>
      <c r="G21" s="47">
        <f ca="1">(('Estadistica Final'!F10)+('Estadistica Final'!H10)+('Estadistica Final'!J10)+('Estadistica Final'!L10)+('Estadistica Final'!N10)+('Estadistica Final'!P10)+('Estadistica Final'!R10)+('Estadistica Final'!T10)+('Estadistica Final'!V10)+('Estadistica Final'!X10))/10</f>
        <v>76.237499999999997</v>
      </c>
      <c r="H21" s="17"/>
    </row>
    <row r="22" spans="2:8" x14ac:dyDescent="0.3">
      <c r="B22" s="17"/>
      <c r="C22" s="18">
        <v>7</v>
      </c>
      <c r="D22" s="17"/>
      <c r="E22" s="7" t="str">
        <f>IF('Datos Generales'!C50&lt;&gt;"", 'Datos Generales'!C50, "")</f>
        <v>Lopez Mazate, Angel Mauricio</v>
      </c>
      <c r="F22" s="17"/>
      <c r="G22" s="47">
        <f ca="1">(('Estadistica Final'!F11)+('Estadistica Final'!H11)+('Estadistica Final'!J11)+('Estadistica Final'!L11)+('Estadistica Final'!N11)+('Estadistica Final'!P11)+('Estadistica Final'!R11)+('Estadistica Final'!T11)+('Estadistica Final'!V11)+('Estadistica Final'!X11))/10</f>
        <v>70.508749999999992</v>
      </c>
      <c r="H22" s="17"/>
    </row>
    <row r="23" spans="2:8" x14ac:dyDescent="0.3">
      <c r="B23" s="17"/>
      <c r="C23" s="18">
        <v>8</v>
      </c>
      <c r="D23" s="17"/>
      <c r="E23" s="7" t="str">
        <f>IF('Datos Generales'!C51&lt;&gt;"", 'Datos Generales'!C51, "")</f>
        <v>López Yol, Diego Josué</v>
      </c>
      <c r="F23" s="17"/>
      <c r="G23" s="47">
        <f ca="1">(('Estadistica Final'!F12)+('Estadistica Final'!H12)+('Estadistica Final'!J12)+('Estadistica Final'!L12)+('Estadistica Final'!N12)+('Estadistica Final'!P12)+('Estadistica Final'!R12)+('Estadistica Final'!T12)+('Estadistica Final'!V12)+('Estadistica Final'!X12))/10</f>
        <v>77.070000000000007</v>
      </c>
      <c r="H23" s="17"/>
    </row>
    <row r="24" spans="2:8" x14ac:dyDescent="0.3">
      <c r="B24" s="17"/>
      <c r="C24" s="18">
        <v>9</v>
      </c>
      <c r="D24" s="17"/>
      <c r="E24" s="7" t="str">
        <f>IF('Datos Generales'!C52&lt;&gt;"", 'Datos Generales'!C52, "")</f>
        <v>Luca Simaj, Maria Fernanda</v>
      </c>
      <c r="F24" s="17"/>
      <c r="G24" s="47">
        <f ca="1">(('Estadistica Final'!F13)+('Estadistica Final'!H13)+('Estadistica Final'!J13)+('Estadistica Final'!L13)+('Estadistica Final'!N13)+('Estadistica Final'!P13)+('Estadistica Final'!R13)+('Estadistica Final'!T13)+('Estadistica Final'!V13)+('Estadistica Final'!X13))/10</f>
        <v>80.22</v>
      </c>
      <c r="H24" s="17"/>
    </row>
    <row r="25" spans="2:8" x14ac:dyDescent="0.3">
      <c r="B25" s="17"/>
      <c r="C25" s="18">
        <v>10</v>
      </c>
      <c r="D25" s="17"/>
      <c r="E25" s="7" t="str">
        <f>IF('Datos Generales'!C53&lt;&gt;"", 'Datos Generales'!C53, "")</f>
        <v>Marroquín Carcúz, Deyuli Mayerli</v>
      </c>
      <c r="F25" s="17"/>
      <c r="G25" s="109">
        <f ca="1">(('Estadistica Final'!F14)+('Estadistica Final'!H14)+('Estadistica Final'!J14)+('Estadistica Final'!L14)+('Estadistica Final'!N14)+('Estadistica Final'!P14)+('Estadistica Final'!R14)+('Estadistica Final'!T14)+('Estadistica Final'!V14)+('Estadistica Final'!X14))/10</f>
        <v>93.844999999999999</v>
      </c>
      <c r="H25" s="17"/>
    </row>
    <row r="26" spans="2:8" x14ac:dyDescent="0.3">
      <c r="B26" s="17"/>
      <c r="C26" s="18">
        <v>11</v>
      </c>
      <c r="D26" s="17"/>
      <c r="E26" s="7" t="str">
        <f>IF('Datos Generales'!C54&lt;&gt;"", 'Datos Generales'!C54, "")</f>
        <v>Marroquín Larios, Yasmín Monserrat</v>
      </c>
      <c r="F26" s="17"/>
      <c r="G26" s="47">
        <f ca="1">(('Estadistica Final'!F15)+('Estadistica Final'!H15)+('Estadistica Final'!J15)+('Estadistica Final'!L15)+('Estadistica Final'!N15)+('Estadistica Final'!P15)+('Estadistica Final'!R15)+('Estadistica Final'!T15)+('Estadistica Final'!V15)+('Estadistica Final'!X15))/10</f>
        <v>77.27000000000001</v>
      </c>
      <c r="H26" s="17"/>
    </row>
    <row r="27" spans="2:8" x14ac:dyDescent="0.3">
      <c r="B27" s="17"/>
      <c r="C27" s="18">
        <v>12</v>
      </c>
      <c r="D27" s="17"/>
      <c r="E27" s="7" t="str">
        <f>IF('Datos Generales'!C55&lt;&gt;"", 'Datos Generales'!C55, "")</f>
        <v>Marroquín Ramírez, Nilton Alexis</v>
      </c>
      <c r="F27" s="17"/>
      <c r="G27" s="47">
        <f ca="1">(('Estadistica Final'!F16)+('Estadistica Final'!H16)+('Estadistica Final'!J16)+('Estadistica Final'!L16)+('Estadistica Final'!N16)+('Estadistica Final'!P16)+('Estadistica Final'!R16)+('Estadistica Final'!T16)+('Estadistica Final'!V16)+('Estadistica Final'!X16))/10</f>
        <v>78.5</v>
      </c>
      <c r="H27" s="17"/>
    </row>
    <row r="28" spans="2:8" x14ac:dyDescent="0.3">
      <c r="B28" s="17"/>
      <c r="C28" s="18">
        <v>13</v>
      </c>
      <c r="D28" s="17"/>
      <c r="E28" s="7" t="str">
        <f>IF('Datos Generales'!C56&lt;&gt;"", 'Datos Generales'!C56, "")</f>
        <v>Martínez Cuyún, María Inés</v>
      </c>
      <c r="F28" s="17"/>
      <c r="G28" s="47">
        <f ca="1">(('Estadistica Final'!F17)+('Estadistica Final'!H17)+('Estadistica Final'!J17)+('Estadistica Final'!L17)+('Estadistica Final'!N17)+('Estadistica Final'!P17)+('Estadistica Final'!R17)+('Estadistica Final'!T17)+('Estadistica Final'!V17)+('Estadistica Final'!X17))/10</f>
        <v>75.914999999999992</v>
      </c>
      <c r="H28" s="17"/>
    </row>
    <row r="29" spans="2:8" x14ac:dyDescent="0.3">
      <c r="B29" s="17"/>
      <c r="C29" s="18">
        <v>14</v>
      </c>
      <c r="D29" s="17"/>
      <c r="E29" s="7" t="str">
        <f>IF('Datos Generales'!C57&lt;&gt;"", 'Datos Generales'!C57, "")</f>
        <v>Mendoza Romero, José Fernando</v>
      </c>
      <c r="F29" s="17"/>
      <c r="G29" s="47">
        <f ca="1">(('Estadistica Final'!F18)+('Estadistica Final'!H18)+('Estadistica Final'!J18)+('Estadistica Final'!L18)+('Estadistica Final'!N18)+('Estadistica Final'!P18)+('Estadistica Final'!R18)+('Estadistica Final'!T18)+('Estadistica Final'!V18)+('Estadistica Final'!X18))/10</f>
        <v>75.515000000000001</v>
      </c>
      <c r="H29" s="17"/>
    </row>
    <row r="30" spans="2:8" x14ac:dyDescent="0.3">
      <c r="B30" s="17"/>
      <c r="C30" s="18">
        <v>15</v>
      </c>
      <c r="D30" s="17"/>
      <c r="E30" s="7" t="str">
        <f>IF('Datos Generales'!C58&lt;&gt;"", 'Datos Generales'!C58, "")</f>
        <v>Moctezuma Orenos, Kimberly Gabriela</v>
      </c>
      <c r="F30" s="17"/>
      <c r="G30" s="47">
        <f ca="1">(('Estadistica Final'!F19)+('Estadistica Final'!H19)+('Estadistica Final'!J19)+('Estadistica Final'!L19)+('Estadistica Final'!N19)+('Estadistica Final'!P19)+('Estadistica Final'!R19)+('Estadistica Final'!T19)+('Estadistica Final'!V19)+('Estadistica Final'!X19))/10</f>
        <v>63.45</v>
      </c>
      <c r="H30" s="17"/>
    </row>
    <row r="31" spans="2:8" x14ac:dyDescent="0.3">
      <c r="B31" s="17"/>
      <c r="C31" s="18">
        <v>16</v>
      </c>
      <c r="D31" s="17"/>
      <c r="E31" s="7" t="str">
        <f>IF('Datos Generales'!C59&lt;&gt;"", 'Datos Generales'!C59, "")</f>
        <v>Oliva Romero, Jeremy Guillermo Santiago</v>
      </c>
      <c r="F31" s="17"/>
      <c r="G31" s="47">
        <f ca="1">(('Estadistica Final'!F20)+('Estadistica Final'!H20)+('Estadistica Final'!J20)+('Estadistica Final'!L20)+('Estadistica Final'!N20)+('Estadistica Final'!P20)+('Estadistica Final'!R20)+('Estadistica Final'!T20)+('Estadistica Final'!V20)+('Estadistica Final'!X20))/10</f>
        <v>86.14</v>
      </c>
      <c r="H31" s="17"/>
    </row>
    <row r="32" spans="2:8" x14ac:dyDescent="0.3">
      <c r="B32" s="17"/>
      <c r="C32" s="18">
        <v>17</v>
      </c>
      <c r="D32" s="17"/>
      <c r="E32" s="7" t="str">
        <f>IF('Datos Generales'!C60&lt;&gt;"", 'Datos Generales'!C60, "")</f>
        <v>Pérez Días, Britany Xiomara</v>
      </c>
      <c r="F32" s="17"/>
      <c r="G32" s="47">
        <f ca="1">(('Estadistica Final'!F21)+('Estadistica Final'!H21)+('Estadistica Final'!J21)+('Estadistica Final'!L21)+('Estadistica Final'!N21)+('Estadistica Final'!P21)+('Estadistica Final'!R21)+('Estadistica Final'!T21)+('Estadistica Final'!V21)+('Estadistica Final'!X21))/10</f>
        <v>86.070000000000007</v>
      </c>
      <c r="H32" s="17"/>
    </row>
    <row r="33" spans="2:8" x14ac:dyDescent="0.3">
      <c r="B33" s="17"/>
      <c r="C33" s="18">
        <v>18</v>
      </c>
      <c r="D33" s="17"/>
      <c r="E33" s="7" t="str">
        <f>IF('Datos Generales'!C61&lt;&gt;"", 'Datos Generales'!C61, "")</f>
        <v>Pérez Quiñonez, Jonatan Ivan</v>
      </c>
      <c r="F33" s="17"/>
      <c r="G33" s="47">
        <f ca="1">(('Estadistica Final'!F22)+('Estadistica Final'!H22)+('Estadistica Final'!J22)+('Estadistica Final'!L22)+('Estadistica Final'!N22)+('Estadistica Final'!P22)+('Estadistica Final'!R22)+('Estadistica Final'!T22)+('Estadistica Final'!V22)+('Estadistica Final'!X22))/10</f>
        <v>72.295000000000002</v>
      </c>
      <c r="H33" s="17"/>
    </row>
    <row r="34" spans="2:8" x14ac:dyDescent="0.3">
      <c r="B34" s="17"/>
      <c r="C34" s="18">
        <v>19</v>
      </c>
      <c r="D34" s="17"/>
      <c r="E34" s="7" t="str">
        <f>IF('Datos Generales'!C62&lt;&gt;"", 'Datos Generales'!C62, "")</f>
        <v>Pichillá Castillo, Andrea Paola</v>
      </c>
      <c r="F34" s="17"/>
      <c r="G34" s="109">
        <f ca="1">(('Estadistica Final'!F23)+('Estadistica Final'!H23)+('Estadistica Final'!J23)+('Estadistica Final'!L23)+('Estadistica Final'!N23)+('Estadistica Final'!P23)+('Estadistica Final'!R23)+('Estadistica Final'!T23)+('Estadistica Final'!V23)+('Estadistica Final'!X23))/10</f>
        <v>89.98</v>
      </c>
      <c r="H34" s="17"/>
    </row>
    <row r="35" spans="2:8" x14ac:dyDescent="0.3">
      <c r="B35" s="17"/>
      <c r="C35" s="18">
        <v>20</v>
      </c>
      <c r="D35" s="17"/>
      <c r="E35" s="7" t="str">
        <f>IF('Datos Generales'!C63&lt;&gt;"", 'Datos Generales'!C63, "")</f>
        <v>Quina Melendez, Erika Yustina</v>
      </c>
      <c r="F35" s="17"/>
      <c r="G35" s="47">
        <f ca="1">(('Estadistica Final'!F24)+('Estadistica Final'!H24)+('Estadistica Final'!J24)+('Estadistica Final'!L24)+('Estadistica Final'!N24)+('Estadistica Final'!P24)+('Estadistica Final'!R24)+('Estadistica Final'!T24)+('Estadistica Final'!V24)+('Estadistica Final'!X24))/10</f>
        <v>84.04</v>
      </c>
      <c r="H35" s="17"/>
    </row>
    <row r="36" spans="2:8" x14ac:dyDescent="0.3">
      <c r="B36" s="17"/>
      <c r="C36" s="18">
        <v>21</v>
      </c>
      <c r="D36" s="17"/>
      <c r="E36" s="7" t="str">
        <f>IF('Datos Generales'!C64&lt;&gt;"", 'Datos Generales'!C64, "")</f>
        <v>Quiñonez García, Estefani Mariela</v>
      </c>
      <c r="F36" s="17"/>
      <c r="G36" s="47">
        <f ca="1">(('Estadistica Final'!F25)+('Estadistica Final'!H25)+('Estadistica Final'!J25)+('Estadistica Final'!L25)+('Estadistica Final'!N25)+('Estadistica Final'!P25)+('Estadistica Final'!R25)+('Estadistica Final'!T25)+('Estadistica Final'!V25)+('Estadistica Final'!X25))/10</f>
        <v>79.37</v>
      </c>
      <c r="H36" s="17"/>
    </row>
    <row r="37" spans="2:8" x14ac:dyDescent="0.3">
      <c r="B37" s="17"/>
      <c r="C37" s="18">
        <v>22</v>
      </c>
      <c r="D37" s="17"/>
      <c r="E37" s="7" t="str">
        <f>IF('Datos Generales'!C65&lt;&gt;"", 'Datos Generales'!C65, "")</f>
        <v>Reyes Romero, José Ángel Estuardo</v>
      </c>
      <c r="F37" s="17"/>
      <c r="G37" s="109">
        <f ca="1">(('Estadistica Final'!F26)+('Estadistica Final'!H26)+('Estadistica Final'!J26)+('Estadistica Final'!L26)+('Estadistica Final'!N26)+('Estadistica Final'!P26)+('Estadistica Final'!R26)+('Estadistica Final'!T26)+('Estadistica Final'!V26)+('Estadistica Final'!X26))/10</f>
        <v>92.58</v>
      </c>
      <c r="H37" s="17"/>
    </row>
    <row r="38" spans="2:8" x14ac:dyDescent="0.3">
      <c r="B38" s="17"/>
      <c r="C38" s="18">
        <v>23</v>
      </c>
      <c r="D38" s="17"/>
      <c r="E38" s="7" t="str">
        <f>IF('Datos Generales'!C66&lt;&gt;"", 'Datos Generales'!C66, "")</f>
        <v>Tejaxun Gil, Oliver Alexander</v>
      </c>
      <c r="F38" s="17"/>
      <c r="G38" s="47">
        <f ca="1">(('Estadistica Final'!F27)+('Estadistica Final'!H27)+('Estadistica Final'!J27)+('Estadistica Final'!L27)+('Estadistica Final'!N27)+('Estadistica Final'!P27)+('Estadistica Final'!R27)+('Estadistica Final'!T27)+('Estadistica Final'!V27)+('Estadistica Final'!X27))/10</f>
        <v>29.585000000000001</v>
      </c>
      <c r="H38" s="17"/>
    </row>
    <row r="39" spans="2:8" x14ac:dyDescent="0.3">
      <c r="B39" s="17"/>
      <c r="C39" s="18">
        <v>24</v>
      </c>
      <c r="D39" s="17"/>
      <c r="E39" s="7" t="str">
        <f>IF('Datos Generales'!C67&lt;&gt;"", 'Datos Generales'!C67, "")</f>
        <v>Tubac Paniagua, Walter Saúl</v>
      </c>
      <c r="F39" s="17"/>
      <c r="G39" s="47">
        <f ca="1">(('Estadistica Final'!F28)+('Estadistica Final'!H28)+('Estadistica Final'!J28)+('Estadistica Final'!L28)+('Estadistica Final'!N28)+('Estadistica Final'!P28)+('Estadistica Final'!R28)+('Estadistica Final'!T28)+('Estadistica Final'!V28)+('Estadistica Final'!X28))/10</f>
        <v>80.290000000000006</v>
      </c>
      <c r="H39" s="17"/>
    </row>
    <row r="40" spans="2:8" x14ac:dyDescent="0.3">
      <c r="B40" s="17"/>
      <c r="C40" s="18">
        <v>25</v>
      </c>
      <c r="D40" s="17"/>
      <c r="E40" s="7" t="str">
        <f>IF('Datos Generales'!C68&lt;&gt;"", 'Datos Generales'!C68, "")</f>
        <v>López Magarín, Esaú César Armando</v>
      </c>
      <c r="F40" s="17"/>
      <c r="G40" s="47">
        <f ca="1">(('Estadistica Final'!F29)+('Estadistica Final'!H29)+('Estadistica Final'!J29)+('Estadistica Final'!L29)+('Estadistica Final'!N29)+('Estadistica Final'!P29)+('Estadistica Final'!R29)+('Estadistica Final'!T29)+('Estadistica Final'!V29)+('Estadistica Final'!X29))/10</f>
        <v>21.95</v>
      </c>
      <c r="H40" s="17"/>
    </row>
    <row r="41" spans="2:8" x14ac:dyDescent="0.3">
      <c r="B41" s="17"/>
      <c r="C41" s="18">
        <v>26</v>
      </c>
      <c r="D41" s="17"/>
      <c r="E41" s="7" t="str">
        <f>IF('Datos Generales'!C69&lt;&gt;"", 'Datos Generales'!C69, "")</f>
        <v/>
      </c>
      <c r="F41" s="17"/>
      <c r="G41" s="47">
        <f>(('Estadistica Final'!F30)+('Estadistica Final'!H30)+('Estadistica Final'!J30)+('Estadistica Final'!L30)+('Estadistica Final'!N30)+('Estadistica Final'!P30)+('Estadistica Final'!R30)+('Estadistica Final'!T30)+('Estadistica Final'!V30)+('Estadistica Final'!X30)+('Estadistica Final'!Z30)+('Estadistica Final'!AB30))/12</f>
        <v>0</v>
      </c>
      <c r="H41" s="17"/>
    </row>
    <row r="42" spans="2:8" x14ac:dyDescent="0.3">
      <c r="B42" s="17"/>
      <c r="C42" s="18">
        <v>27</v>
      </c>
      <c r="D42" s="17"/>
      <c r="E42" s="7" t="str">
        <f>IF('Datos Generales'!C70&lt;&gt;"", 'Datos Generales'!C70, "")</f>
        <v/>
      </c>
      <c r="F42" s="17"/>
      <c r="G42" s="47">
        <f>(('Estadistica Final'!F31)+('Estadistica Final'!H31)+('Estadistica Final'!J31)+('Estadistica Final'!L31)+('Estadistica Final'!N31)+('Estadistica Final'!P31)+('Estadistica Final'!R31)+('Estadistica Final'!T31)+('Estadistica Final'!V31)+('Estadistica Final'!X31)+('Estadistica Final'!Z31)+('Estadistica Final'!AB31))/12</f>
        <v>0</v>
      </c>
      <c r="H42" s="17"/>
    </row>
    <row r="43" spans="2:8" x14ac:dyDescent="0.3">
      <c r="B43" s="17"/>
      <c r="C43" s="18">
        <v>28</v>
      </c>
      <c r="D43" s="17"/>
      <c r="E43" s="7" t="str">
        <f>IF('Datos Generales'!C71&lt;&gt;"", 'Datos Generales'!C71, "")</f>
        <v/>
      </c>
      <c r="F43" s="17"/>
      <c r="G43" s="16">
        <f>(SUM('Unidad 1'!F32:AH32, 'Unidad 2'!F32:AH32, 'Unidad 3'!F32:AH32, 'Unidad 4'!F32:AH32))/64</f>
        <v>0</v>
      </c>
      <c r="H43" s="17"/>
    </row>
    <row r="44" spans="2:8" x14ac:dyDescent="0.3">
      <c r="B44" s="17"/>
      <c r="C44" s="18">
        <v>29</v>
      </c>
      <c r="D44" s="17"/>
      <c r="E44" s="7" t="str">
        <f>IF('Datos Generales'!C72&lt;&gt;"", 'Datos Generales'!C72, "")</f>
        <v/>
      </c>
      <c r="F44" s="17"/>
      <c r="G44" s="16">
        <f>(SUM('Unidad 1'!F33:AH33, 'Unidad 2'!F33:AH33, 'Unidad 3'!F33:AH33, 'Unidad 4'!F33:AH33))/64</f>
        <v>0</v>
      </c>
      <c r="H44" s="17"/>
    </row>
    <row r="45" spans="2:8" x14ac:dyDescent="0.3">
      <c r="B45" s="17"/>
      <c r="C45" s="18">
        <v>30</v>
      </c>
      <c r="D45" s="17"/>
      <c r="E45" s="7" t="str">
        <f>IF('Datos Generales'!C73&lt;&gt;"", 'Datos Generales'!C73, "")</f>
        <v/>
      </c>
      <c r="F45" s="17"/>
      <c r="G45" s="16">
        <f>(SUM('Unidad 1'!F34:AH34, 'Unidad 2'!F34:AH34, 'Unidad 3'!F34:AH34, 'Unidad 4'!F34:AH34))/64</f>
        <v>0</v>
      </c>
      <c r="H45" s="17"/>
    </row>
    <row r="46" spans="2:8" x14ac:dyDescent="0.3">
      <c r="B46" s="17"/>
      <c r="C46" s="18">
        <v>31</v>
      </c>
      <c r="D46" s="17"/>
      <c r="E46" s="7" t="str">
        <f>IF('Datos Generales'!C74&lt;&gt;"", 'Datos Generales'!C74, "")</f>
        <v/>
      </c>
      <c r="F46" s="17"/>
      <c r="G46" s="16">
        <f>(SUM('Unidad 1'!F35:AH35, 'Unidad 2'!F35:AH35, 'Unidad 3'!F35:AH35, 'Unidad 4'!F35:AH35))/64</f>
        <v>0</v>
      </c>
      <c r="H46" s="17"/>
    </row>
    <row r="47" spans="2:8" x14ac:dyDescent="0.3">
      <c r="B47" s="17"/>
      <c r="C47" s="18">
        <v>32</v>
      </c>
      <c r="D47" s="17"/>
      <c r="E47" s="7" t="str">
        <f>IF('Datos Generales'!C75&lt;&gt;"", 'Datos Generales'!C75, "")</f>
        <v/>
      </c>
      <c r="F47" s="17"/>
      <c r="G47" s="16">
        <f>(SUM('Unidad 1'!F36:AH36, 'Unidad 2'!F36:AH36, 'Unidad 3'!F36:AH36, 'Unidad 4'!F36:AH36))/64</f>
        <v>0</v>
      </c>
      <c r="H47" s="17"/>
    </row>
    <row r="48" spans="2:8" x14ac:dyDescent="0.3">
      <c r="B48" s="17"/>
      <c r="C48" s="18">
        <v>33</v>
      </c>
      <c r="D48" s="17"/>
      <c r="E48" s="7" t="str">
        <f>IF('Datos Generales'!C76&lt;&gt;"", 'Datos Generales'!C76, "")</f>
        <v/>
      </c>
      <c r="F48" s="17"/>
      <c r="G48" s="16">
        <f>(SUM('Unidad 1'!F37:AH37, 'Unidad 2'!F37:AH37, 'Unidad 3'!F37:AH37, 'Unidad 4'!F37:AH37))/64</f>
        <v>0</v>
      </c>
      <c r="H48" s="17"/>
    </row>
    <row r="49" spans="2:8" x14ac:dyDescent="0.3">
      <c r="B49" s="17"/>
      <c r="C49" s="18">
        <v>34</v>
      </c>
      <c r="D49" s="17"/>
      <c r="E49" s="7" t="str">
        <f>IF('Datos Generales'!C77&lt;&gt;"", 'Datos Generales'!C77, "")</f>
        <v/>
      </c>
      <c r="F49" s="17"/>
      <c r="G49" s="16">
        <f>(SUM('Unidad 1'!F38:AH38, 'Unidad 2'!F38:AH38, 'Unidad 3'!F38:AH38, 'Unidad 4'!F38:AH38))/64</f>
        <v>0</v>
      </c>
      <c r="H49" s="17"/>
    </row>
    <row r="50" spans="2:8" x14ac:dyDescent="0.3">
      <c r="B50" s="17"/>
      <c r="C50" s="18">
        <v>35</v>
      </c>
      <c r="D50" s="17"/>
      <c r="E50" s="7" t="str">
        <f>IF('Datos Generales'!C78&lt;&gt;"", 'Datos Generales'!C78, "")</f>
        <v/>
      </c>
      <c r="F50" s="17"/>
      <c r="G50" s="16">
        <f>(SUM('Unidad 1'!F39:AH39, 'Unidad 2'!F39:AH39, 'Unidad 3'!F39:AH39, 'Unidad 4'!F39:AH39))/64</f>
        <v>0</v>
      </c>
      <c r="H50" s="17"/>
    </row>
    <row r="51" spans="2:8" ht="3.75" customHeight="1" x14ac:dyDescent="0.3">
      <c r="B51" s="17"/>
      <c r="C51" s="17"/>
      <c r="D51" s="17"/>
      <c r="E51" s="17"/>
      <c r="F51" s="17"/>
      <c r="G51" s="17"/>
      <c r="H51" s="17"/>
    </row>
  </sheetData>
  <mergeCells count="6">
    <mergeCell ref="B11:G11"/>
    <mergeCell ref="C12:G12"/>
    <mergeCell ref="B6:H6"/>
    <mergeCell ref="B7:H7"/>
    <mergeCell ref="B9:H9"/>
    <mergeCell ref="B10:H10"/>
  </mergeCells>
  <phoneticPr fontId="4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AG37"/>
  <sheetViews>
    <sheetView showGridLines="0" topLeftCell="A4" zoomScale="110" zoomScaleNormal="100" workbookViewId="0">
      <selection activeCell="K17" sqref="K17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44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4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Avilés Palacios, Christopher Alexandro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0</v>
      </c>
      <c r="F14" s="48"/>
      <c r="G14" s="47">
        <f ca="1">GetValue($C14,  AC1, "F", $V$2)</f>
        <v>0</v>
      </c>
      <c r="H14" s="48"/>
      <c r="I14" s="47">
        <f ca="1">GetValue($C14,  AE1, "F", $V$2)</f>
        <v>0</v>
      </c>
      <c r="J14" s="48"/>
      <c r="K14" s="47">
        <f ca="1">GetValue($C14,  AG1, "F", $V$2)</f>
        <v>0</v>
      </c>
      <c r="L14" s="49"/>
      <c r="M14" s="50">
        <f ca="1">IF($C14&lt;&gt;"", AVERAGE(E14:K14), "")</f>
        <v>0</v>
      </c>
      <c r="N14" s="9"/>
      <c r="O14" s="14" t="str">
        <f ca="1">IF(COUNT(M14)&lt;&gt;0, IF((M14)&gt;=70,"A","R"),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0</v>
      </c>
      <c r="F15" s="48"/>
      <c r="G15" s="47">
        <f ca="1">GetValue($C15,  AC1, "H", $V$2)</f>
        <v>0</v>
      </c>
      <c r="H15" s="48"/>
      <c r="I15" s="47">
        <f ca="1">GetValue($C15,  AE1, "H", $V$2)</f>
        <v>0</v>
      </c>
      <c r="J15" s="48"/>
      <c r="K15" s="47">
        <f ca="1">GetValue($C15,  AG1, "H", $V$2)</f>
        <v>0</v>
      </c>
      <c r="L15" s="49"/>
      <c r="M15" s="50">
        <f t="shared" ref="M15:M28" ca="1" si="0">IF($C15&lt;&gt;"", AVERAGE(E15:K15), "")</f>
        <v>0</v>
      </c>
      <c r="N15" s="9"/>
      <c r="O15" s="14" t="str">
        <f t="shared" ref="O15:O28" ca="1" si="1">IF(COUNT(M15)&lt;&gt;0, IF((M15)&gt;=70,"A","R"),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0</v>
      </c>
      <c r="F16" s="48"/>
      <c r="G16" s="47">
        <f ca="1">GetValue($C16,  AC1, "J", $V$2)</f>
        <v>0</v>
      </c>
      <c r="H16" s="48"/>
      <c r="I16" s="47">
        <f ca="1">GetValue($C16,  AE1, "J", $V$2)</f>
        <v>0</v>
      </c>
      <c r="J16" s="48"/>
      <c r="K16" s="47">
        <f ca="1">GetValue($C16,  AG1, "J", $V$2)</f>
        <v>0</v>
      </c>
      <c r="L16" s="49"/>
      <c r="M16" s="50">
        <f t="shared" ca="1" si="0"/>
        <v>0</v>
      </c>
      <c r="N16" s="9"/>
      <c r="O16" s="14" t="str">
        <f t="shared" ca="1" si="1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0</v>
      </c>
      <c r="F17" s="48"/>
      <c r="G17" s="47">
        <f ca="1">GetValue($C17,  AC1, "L", $V$2)</f>
        <v>0</v>
      </c>
      <c r="H17" s="48"/>
      <c r="I17" s="47">
        <f ca="1">GetValue($C17,  AE1, "L", $V$2)</f>
        <v>0</v>
      </c>
      <c r="J17" s="48"/>
      <c r="K17" s="47">
        <f ca="1">GetValue($C17,  AG1, "L", $V$2)</f>
        <v>0</v>
      </c>
      <c r="L17" s="49"/>
      <c r="M17" s="50">
        <f t="shared" ca="1" si="0"/>
        <v>0</v>
      </c>
      <c r="N17" s="9"/>
      <c r="O17" s="14" t="str">
        <f t="shared" ca="1" si="1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0</v>
      </c>
      <c r="F18" s="48"/>
      <c r="G18" s="47">
        <f ca="1">GetValue($C18,  AC1, "N", $V$2)</f>
        <v>0</v>
      </c>
      <c r="H18" s="48"/>
      <c r="I18" s="47">
        <f ca="1">GetValue($C18,  AE1, "N", $V$2)</f>
        <v>0</v>
      </c>
      <c r="J18" s="48"/>
      <c r="K18" s="47">
        <f ca="1">GetValue($C18,  AG1, "N", $V$2)</f>
        <v>0</v>
      </c>
      <c r="L18" s="49"/>
      <c r="M18" s="50">
        <f t="shared" ca="1" si="0"/>
        <v>0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0</v>
      </c>
      <c r="F19" s="48"/>
      <c r="G19" s="47">
        <f ca="1">GetValue($C19,  AC1, "P", $V$2)</f>
        <v>0</v>
      </c>
      <c r="H19" s="48"/>
      <c r="I19" s="47">
        <f ca="1">GetValue($C19,  AE1, "P", $V$2)</f>
        <v>0</v>
      </c>
      <c r="J19" s="48"/>
      <c r="K19" s="47">
        <f ca="1">GetValue($C19,  AG1, "P", $V$2)</f>
        <v>0</v>
      </c>
      <c r="L19" s="49"/>
      <c r="M19" s="50">
        <f t="shared" ca="1" si="0"/>
        <v>0</v>
      </c>
      <c r="N19" s="9"/>
      <c r="O19" s="14" t="str">
        <f t="shared" ca="1" si="1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0</v>
      </c>
      <c r="F20" s="48"/>
      <c r="G20" s="47">
        <f ca="1">GetValue($C20,  AC1, "R", $V$2)</f>
        <v>0</v>
      </c>
      <c r="H20" s="48"/>
      <c r="I20" s="47">
        <f ca="1">GetValue($C20,  AE1, "R", $V$2)</f>
        <v>0</v>
      </c>
      <c r="J20" s="48"/>
      <c r="K20" s="47">
        <f ca="1">GetValue($C20,  AG1, "R", $V$2)</f>
        <v>0</v>
      </c>
      <c r="L20" s="49"/>
      <c r="M20" s="50">
        <f t="shared" ca="1" si="0"/>
        <v>0</v>
      </c>
      <c r="N20" s="9"/>
      <c r="O20" s="14" t="str">
        <f t="shared" ca="1" si="1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0</v>
      </c>
      <c r="F21" s="48"/>
      <c r="G21" s="47">
        <f ca="1">GetValue($C21,  AC1, "T", $V$2)</f>
        <v>0</v>
      </c>
      <c r="H21" s="48"/>
      <c r="I21" s="47">
        <f ca="1">GetValue($C21,  AE1, "T", $V$2)</f>
        <v>0</v>
      </c>
      <c r="J21" s="48"/>
      <c r="K21" s="47">
        <f ca="1">GetValue($C21,  AG1, "T", $V$2)</f>
        <v>0</v>
      </c>
      <c r="L21" s="49"/>
      <c r="M21" s="50">
        <f t="shared" ca="1" si="0"/>
        <v>0</v>
      </c>
      <c r="N21" s="9"/>
      <c r="O21" s="14" t="str">
        <f t="shared" ca="1" si="1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0</v>
      </c>
      <c r="F22" s="48"/>
      <c r="G22" s="47">
        <f ca="1">GetValue($C22,  AC1, "V", $V$2)</f>
        <v>0</v>
      </c>
      <c r="H22" s="48"/>
      <c r="I22" s="47">
        <f ca="1">GetValue($C22,  AE1, "V", $V$2)</f>
        <v>0</v>
      </c>
      <c r="J22" s="48"/>
      <c r="K22" s="47">
        <f ca="1">GetValue($C22,  AG1, "V", $V$2)</f>
        <v>0</v>
      </c>
      <c r="L22" s="49"/>
      <c r="M22" s="50">
        <f t="shared" ca="1" si="0"/>
        <v>0</v>
      </c>
      <c r="N22" s="9"/>
      <c r="O22" s="14" t="str">
        <f t="shared" ca="1" si="1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0</v>
      </c>
      <c r="F23" s="48"/>
      <c r="G23" s="47">
        <f ca="1">GetValue($C23,  AC1, "X", $V$2)</f>
        <v>0</v>
      </c>
      <c r="H23" s="48"/>
      <c r="I23" s="47">
        <f ca="1">GetValue($C23,  AE1, "X", $V$2)</f>
        <v>0</v>
      </c>
      <c r="J23" s="48"/>
      <c r="K23" s="47">
        <f ca="1">GetValue($C23,  AG1, "X", $V$2)</f>
        <v>0</v>
      </c>
      <c r="L23" s="49"/>
      <c r="M23" s="50">
        <f t="shared" ca="1" si="0"/>
        <v>0</v>
      </c>
      <c r="N23" s="9"/>
      <c r="O23" s="14" t="str">
        <f t="shared" ca="1" si="1"/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0</v>
      </c>
      <c r="F24" s="48"/>
      <c r="G24" s="47">
        <f ca="1">GetValue($C24,  AC1, "Z", $V$2)</f>
        <v>0</v>
      </c>
      <c r="H24" s="48"/>
      <c r="I24" s="47">
        <f ca="1">GetValue($C24,  AE1, "Z", $V$2)</f>
        <v>0</v>
      </c>
      <c r="J24" s="48"/>
      <c r="K24" s="47">
        <f ca="1">GetValue($C24,  AG1, "Z", $V$2)</f>
        <v>0</v>
      </c>
      <c r="L24" s="49"/>
      <c r="M24" s="50">
        <f t="shared" ca="1" si="0"/>
        <v>0</v>
      </c>
      <c r="N24" s="9"/>
      <c r="O24" s="14" t="str">
        <f t="shared" ca="1" si="1"/>
        <v>R</v>
      </c>
      <c r="P24" s="9"/>
    </row>
    <row r="25" spans="2:16" x14ac:dyDescent="0.3">
      <c r="B25" s="9"/>
      <c r="C25" s="13" t="str">
        <f>IF('Datos Generales'!C32&lt;&gt;"", 'Datos Generales'!C32, "")</f>
        <v/>
      </c>
      <c r="D25" s="9"/>
      <c r="E25" s="16" t="str">
        <f ca="1">GetValue($C25,  AA1, "AB", $V$2)</f>
        <v/>
      </c>
      <c r="F25" s="29"/>
      <c r="G25" s="16" t="str">
        <f ca="1">GetValue($C25,  AC1, "AB", $V$2)</f>
        <v/>
      </c>
      <c r="H25" s="29"/>
      <c r="I25" s="16" t="str">
        <f ca="1">GetValue($C25,  AE1, "AB", $V$2)</f>
        <v/>
      </c>
      <c r="J25" s="29"/>
      <c r="K25" s="16" t="str">
        <f ca="1">GetValue($C25,  AG1, "AB", $V$2)</f>
        <v/>
      </c>
      <c r="L25" s="30"/>
      <c r="M25" s="16" t="str">
        <f t="shared" si="0"/>
        <v/>
      </c>
      <c r="N25" s="9"/>
      <c r="O25" s="14" t="str">
        <f t="shared" si="1"/>
        <v/>
      </c>
      <c r="P25" s="9"/>
    </row>
    <row r="26" spans="2:16" x14ac:dyDescent="0.3">
      <c r="B26" s="9"/>
      <c r="C26" s="13" t="str">
        <f>IF('Datos Generales'!C33&lt;&gt;"", 'Datos Generales'!C33, "")</f>
        <v/>
      </c>
      <c r="D26" s="9"/>
      <c r="E26" s="16" t="str">
        <f ca="1">GetValue($C26,  AA1, "AD", $V$2)</f>
        <v/>
      </c>
      <c r="F26" s="29"/>
      <c r="G26" s="16" t="str">
        <f ca="1">GetValue($C26,  AC1, "AD", $V$2)</f>
        <v/>
      </c>
      <c r="H26" s="29"/>
      <c r="I26" s="16" t="str">
        <f ca="1">GetValue($C26,  AE1, "AD", $V$2)</f>
        <v/>
      </c>
      <c r="J26" s="29"/>
      <c r="K26" s="16" t="str">
        <f ca="1">GetValue($C26,  AG1, "AD", $V$2)</f>
        <v/>
      </c>
      <c r="L26" s="30"/>
      <c r="M26" s="16" t="str">
        <f t="shared" si="0"/>
        <v/>
      </c>
      <c r="N26" s="9"/>
      <c r="O26" s="14" t="str">
        <f t="shared" si="1"/>
        <v/>
      </c>
      <c r="P26" s="9"/>
    </row>
    <row r="27" spans="2:16" x14ac:dyDescent="0.3">
      <c r="B27" s="9"/>
      <c r="C27" s="13" t="str">
        <f>IF('Datos Generales'!C34&lt;&gt;"", 'Datos Generales'!C34, "")</f>
        <v/>
      </c>
      <c r="D27" s="9"/>
      <c r="E27" s="16" t="str">
        <f ca="1">GetValue($C27,  AA1, "AF", $V$2)</f>
        <v/>
      </c>
      <c r="F27" s="29"/>
      <c r="G27" s="16" t="str">
        <f ca="1">GetValue($C27,  AC1, "AF", $V$2)</f>
        <v/>
      </c>
      <c r="H27" s="29"/>
      <c r="I27" s="16" t="str">
        <f ca="1">GetValue($C27,  AE1, "AF", $V$2)</f>
        <v/>
      </c>
      <c r="J27" s="29"/>
      <c r="K27" s="16" t="str">
        <f ca="1">GetValue($C27,  AG1, "AF", $V$2)</f>
        <v/>
      </c>
      <c r="L27" s="30"/>
      <c r="M27" s="16" t="str">
        <f t="shared" si="0"/>
        <v/>
      </c>
      <c r="N27" s="9"/>
      <c r="O27" s="14" t="str">
        <f t="shared" si="1"/>
        <v/>
      </c>
      <c r="P27" s="9"/>
    </row>
    <row r="28" spans="2:16" x14ac:dyDescent="0.3">
      <c r="B28" s="9"/>
      <c r="C28" s="13" t="str">
        <f>IF('Datos Generales'!C35&lt;&gt;"", 'Datos Generales'!C35, "")</f>
        <v/>
      </c>
      <c r="D28" s="9"/>
      <c r="E28" s="16" t="str">
        <f ca="1">GetValue($C28,  AA1, "AH", $V$2)</f>
        <v/>
      </c>
      <c r="F28" s="29"/>
      <c r="G28" s="16" t="str">
        <f ca="1">GetValue($C28,  AC1, "AH", $V$2)</f>
        <v/>
      </c>
      <c r="H28" s="29"/>
      <c r="I28" s="16" t="str">
        <f ca="1">GetValue($C28,  AE1, "AH", $V$2)</f>
        <v/>
      </c>
      <c r="J28" s="29"/>
      <c r="K28" s="16" t="str">
        <f ca="1">GetValue($C28,  AG1, "AH", $V$2)</f>
        <v/>
      </c>
      <c r="L28" s="30"/>
      <c r="M28" s="16" t="str">
        <f t="shared" si="0"/>
        <v/>
      </c>
      <c r="N28" s="9"/>
      <c r="O28" s="14" t="str">
        <f t="shared" si="1"/>
        <v/>
      </c>
      <c r="P28" s="9"/>
    </row>
    <row r="29" spans="2:16" hidden="1" x14ac:dyDescent="0.3">
      <c r="B29" s="9"/>
      <c r="C29" s="13">
        <f>'Datos Generales'!C36</f>
        <v>0</v>
      </c>
      <c r="D29" s="9"/>
      <c r="E29" s="16" t="str">
        <f>IF(('Unidad 1'!AJ5)=0," ",'Unidad 1'!AJ5)</f>
        <v xml:space="preserve"> </v>
      </c>
      <c r="F29" s="29"/>
      <c r="G29" s="16" t="e">
        <f>IF((#REF!)=0," ",#REF!)</f>
        <v>#REF!</v>
      </c>
      <c r="H29" s="29"/>
      <c r="I29" s="16" t="e">
        <f>IF((#REF!)=0," ",#REF!)</f>
        <v>#REF!</v>
      </c>
      <c r="J29" s="29"/>
      <c r="K29" s="16" t="e">
        <f>IF((#REF!)=0," ",#REF!)</f>
        <v>#REF!</v>
      </c>
      <c r="L29" s="30"/>
      <c r="M29" s="16" t="e">
        <f t="shared" ref="M29" si="2">IF((SUM(E29:K29)/4)=0, " ",SUM(E29:K29)/4)</f>
        <v>#REF!</v>
      </c>
      <c r="N29" s="9"/>
      <c r="O29" s="14" t="e">
        <f t="shared" ref="O29" si="3">IF((M29)&gt;=70,"A","R")</f>
        <v>#REF!</v>
      </c>
      <c r="P29" s="9"/>
    </row>
    <row r="30" spans="2:16" ht="8.1" customHeight="1" x14ac:dyDescent="0.3">
      <c r="B30" s="9"/>
      <c r="C30" s="9"/>
      <c r="D30" s="9"/>
      <c r="E30" s="29"/>
      <c r="F30" s="29"/>
      <c r="G30" s="29"/>
      <c r="H30" s="29"/>
      <c r="I30" s="29"/>
      <c r="J30" s="29"/>
      <c r="K30" s="29"/>
      <c r="L30" s="29"/>
      <c r="M30" s="29"/>
      <c r="N30" s="9"/>
      <c r="O30" s="9"/>
      <c r="P30" s="9"/>
    </row>
    <row r="31" spans="2:16" s="27" customFormat="1" x14ac:dyDescent="0.3">
      <c r="C31" s="16" t="str">
        <f>'Datos Generales'!C97</f>
        <v>Promedio de Unidad</v>
      </c>
      <c r="E31" s="16">
        <f ca="1">AVERAGE(E14:E28)</f>
        <v>0</v>
      </c>
      <c r="G31" s="16">
        <f ca="1">AVERAGE(G14:G28)</f>
        <v>0</v>
      </c>
      <c r="I31" s="16">
        <f ca="1">AVERAGE(I14:I28)</f>
        <v>0</v>
      </c>
      <c r="K31" s="16">
        <f ca="1">AVERAGE(K14:K28)</f>
        <v>0</v>
      </c>
      <c r="M31" s="16">
        <f ca="1">AVERAGE(M14:M28)</f>
        <v>0</v>
      </c>
    </row>
    <row r="34" spans="7:13" x14ac:dyDescent="0.3">
      <c r="G34" s="119" t="s">
        <v>12</v>
      </c>
      <c r="H34" s="119"/>
      <c r="I34" s="119"/>
    </row>
    <row r="35" spans="7:13" x14ac:dyDescent="0.3">
      <c r="G35" s="119" t="str">
        <f>'Datos Generales'!C98</f>
        <v>Firma Maestro Guia</v>
      </c>
      <c r="H35" s="119"/>
      <c r="I35" s="119"/>
    </row>
    <row r="37" spans="7:13" x14ac:dyDescent="0.3">
      <c r="M37" s="28"/>
    </row>
  </sheetData>
  <mergeCells count="7">
    <mergeCell ref="E1:M1"/>
    <mergeCell ref="G34:I34"/>
    <mergeCell ref="G35:I35"/>
    <mergeCell ref="D2:I2"/>
    <mergeCell ref="D4:I4"/>
    <mergeCell ref="D5:I5"/>
    <mergeCell ref="E10:K10"/>
  </mergeCells>
  <phoneticPr fontId="4" type="noConversion"/>
  <pageMargins left="0.7" right="0.7" top="0.75" bottom="0.75" header="0.3" footer="0.3"/>
  <pageSetup orientation="landscape" horizontalDpi="4294967294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4E493-8113-46C3-8F98-FB38CAC282FF}">
  <sheetPr codeName="Sheet9"/>
  <dimension ref="B1:AG32"/>
  <sheetViews>
    <sheetView showGridLines="0" tabSelected="1" topLeftCell="A8" zoomScale="110" zoomScaleNormal="100" workbookViewId="0">
      <selection activeCell="R24" sqref="R24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44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5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Avilés Palacios, Christopher Alexandro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84</v>
      </c>
      <c r="F14" s="48"/>
      <c r="G14" s="47">
        <f ca="1">GetValue($C14,  AC1, "F", $V$2)</f>
        <v>44</v>
      </c>
      <c r="H14" s="48"/>
      <c r="I14" s="47">
        <f ca="1">GetValue($C14,  AE1, "F", $V$2)</f>
        <v>90</v>
      </c>
      <c r="J14" s="48"/>
      <c r="K14" s="47">
        <f ca="1">GetValue($C14,  AG1, "F", $V$2)</f>
        <v>85</v>
      </c>
      <c r="L14" s="49"/>
      <c r="M14" s="50">
        <f ca="1">(K14*0.35)+(I14*0.25)+(G14*0.2)+(E14*0.2)</f>
        <v>77.849999999999994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84</v>
      </c>
      <c r="F15" s="48"/>
      <c r="G15" s="47">
        <f ca="1">GetValue($C15,  AC1, "H", $V$2)</f>
        <v>44</v>
      </c>
      <c r="H15" s="48"/>
      <c r="I15" s="47">
        <f ca="1">GetValue($C15,  AE1, "H", $V$2)</f>
        <v>90</v>
      </c>
      <c r="J15" s="48"/>
      <c r="K15" s="47">
        <f ca="1">GetValue($C15,  AG1, "H", $V$2)</f>
        <v>83</v>
      </c>
      <c r="L15" s="49"/>
      <c r="M15" s="50">
        <f t="shared" ref="M15:M24" ca="1" si="0">(K15*0.35)+(I15*0.25)+(G15*0.2)+(E15*0.2)</f>
        <v>77.149999999999991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49</v>
      </c>
      <c r="F16" s="48"/>
      <c r="G16" s="47">
        <f ca="1">GetValue($C16,  AC1, "J", $V$2)</f>
        <v>69.5</v>
      </c>
      <c r="H16" s="48"/>
      <c r="I16" s="47">
        <f ca="1">GetValue($C16,  AE1, "J", $V$2)</f>
        <v>74</v>
      </c>
      <c r="J16" s="48"/>
      <c r="K16" s="47">
        <f ca="1">GetValue($C16,  AG1, "J", $V$2)</f>
        <v>68</v>
      </c>
      <c r="L16" s="49"/>
      <c r="M16" s="50">
        <f t="shared" ca="1" si="0"/>
        <v>66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38</v>
      </c>
      <c r="F17" s="48"/>
      <c r="G17" s="47">
        <f ca="1">GetValue($C17,  AC1, "L", $V$2)</f>
        <v>78</v>
      </c>
      <c r="H17" s="48"/>
      <c r="I17" s="47">
        <f ca="1">GetValue($C17,  AE1, "L", $V$2)</f>
        <v>60</v>
      </c>
      <c r="J17" s="48"/>
      <c r="K17" s="47">
        <f ca="1">GetValue($C17,  AG1, "L", $V$2)</f>
        <v>96</v>
      </c>
      <c r="L17" s="49"/>
      <c r="M17" s="50">
        <f t="shared" ca="1" si="0"/>
        <v>71.799999999999983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60</v>
      </c>
      <c r="F18" s="48"/>
      <c r="G18" s="47">
        <f ca="1">GetValue($C18,  AC1, "N", $V$2)</f>
        <v>84</v>
      </c>
      <c r="H18" s="48"/>
      <c r="I18" s="47">
        <f ca="1">GetValue($C18,  AE1, "N", $V$2)</f>
        <v>78</v>
      </c>
      <c r="J18" s="48"/>
      <c r="K18" s="47">
        <f ca="1">GetValue($C18,  AG1, "N", $V$2)</f>
        <v>71</v>
      </c>
      <c r="L18" s="49"/>
      <c r="M18" s="50">
        <f t="shared" ca="1" si="0"/>
        <v>73.149999999999991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56</v>
      </c>
      <c r="F19" s="48"/>
      <c r="G19" s="47">
        <f ca="1">GetValue($C19,  AC1, "P", $V$2)</f>
        <v>81</v>
      </c>
      <c r="H19" s="48"/>
      <c r="I19" s="47">
        <f ca="1">GetValue($C19,  AE1, "P", $V$2)</f>
        <v>72</v>
      </c>
      <c r="J19" s="48"/>
      <c r="K19" s="47">
        <f ca="1">GetValue($C19,  AG1, "P", $V$2)</f>
        <v>78</v>
      </c>
      <c r="L19" s="49"/>
      <c r="M19" s="50">
        <f t="shared" ca="1" si="0"/>
        <v>72.7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50</v>
      </c>
      <c r="F20" s="48"/>
      <c r="G20" s="47">
        <f ca="1">GetValue($C20,  AC1, "R", $V$2)</f>
        <v>92</v>
      </c>
      <c r="H20" s="48"/>
      <c r="I20" s="47">
        <f ca="1">GetValue($C20,  AE1, "R", $V$2)</f>
        <v>80</v>
      </c>
      <c r="J20" s="48"/>
      <c r="K20" s="47">
        <f ca="1">GetValue($C20,  AG1, "R", $V$2)</f>
        <v>77</v>
      </c>
      <c r="L20" s="49"/>
      <c r="M20" s="50">
        <f t="shared" ca="1" si="0"/>
        <v>75.350000000000009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80</v>
      </c>
      <c r="F21" s="48"/>
      <c r="G21" s="47">
        <f ca="1">GetValue($C21,  AC1, "T", $V$2)</f>
        <v>63</v>
      </c>
      <c r="H21" s="48"/>
      <c r="I21" s="47">
        <f ca="1">GetValue($C21,  AE1, "T", $V$2)</f>
        <v>70</v>
      </c>
      <c r="J21" s="48"/>
      <c r="K21" s="47">
        <f ca="1">GetValue($C21,  AG1, "T", $V$2)</f>
        <v>93</v>
      </c>
      <c r="L21" s="49"/>
      <c r="M21" s="50">
        <f t="shared" ca="1" si="0"/>
        <v>78.650000000000006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85</v>
      </c>
      <c r="F22" s="48"/>
      <c r="G22" s="47">
        <f ca="1">GetValue($C22,  AC1, "V", $V$2)</f>
        <v>70</v>
      </c>
      <c r="H22" s="48"/>
      <c r="I22" s="47">
        <f ca="1">GetValue($C22,  AE1, "V", $V$2)</f>
        <v>65</v>
      </c>
      <c r="J22" s="48"/>
      <c r="K22" s="47">
        <f ca="1">GetValue($C22,  AG1, "V", $V$2)</f>
        <v>65</v>
      </c>
      <c r="L22" s="49"/>
      <c r="M22" s="50">
        <f t="shared" ca="1" si="0"/>
        <v>70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81</v>
      </c>
      <c r="F23" s="48"/>
      <c r="G23" s="47">
        <f ca="1">GetValue($C23,  AC1, "X", $V$2)</f>
        <v>80</v>
      </c>
      <c r="H23" s="48"/>
      <c r="I23" s="47">
        <f ca="1">GetValue($C23,  AE1, "X", $V$2)</f>
        <v>73</v>
      </c>
      <c r="J23" s="48"/>
      <c r="K23" s="47">
        <f ca="1">GetValue($C23,  AG1, "X", $V$2)</f>
        <v>70</v>
      </c>
      <c r="L23" s="49"/>
      <c r="M23" s="50">
        <f t="shared" ca="1" si="0"/>
        <v>74.95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88</v>
      </c>
      <c r="F24" s="47" t="e">
        <f t="shared" ref="F24:K24" ca="1" si="2">GetValue($C24,  AB1, "z", $V$2)</f>
        <v>#VALUE!</v>
      </c>
      <c r="G24" s="47">
        <f t="shared" ca="1" si="2"/>
        <v>80</v>
      </c>
      <c r="H24" s="47" t="e">
        <f t="shared" ca="1" si="2"/>
        <v>#VALUE!</v>
      </c>
      <c r="I24" s="47">
        <f t="shared" ca="1" si="2"/>
        <v>90</v>
      </c>
      <c r="J24" s="47" t="e">
        <f t="shared" ca="1" si="2"/>
        <v>#VALUE!</v>
      </c>
      <c r="K24" s="47">
        <f t="shared" ca="1" si="2"/>
        <v>100</v>
      </c>
      <c r="L24" s="30"/>
      <c r="M24" s="50">
        <f t="shared" ca="1" si="0"/>
        <v>91.1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68.63636363636364</v>
      </c>
      <c r="F26" s="47" t="e">
        <f t="shared" ref="F26:M26" ca="1" si="4">AVERAGE(F14:F24)</f>
        <v>#VALUE!</v>
      </c>
      <c r="G26" s="47">
        <f t="shared" ca="1" si="4"/>
        <v>71.409090909090907</v>
      </c>
      <c r="H26" s="47" t="e">
        <f t="shared" ca="1" si="4"/>
        <v>#VALUE!</v>
      </c>
      <c r="I26" s="47">
        <f t="shared" ca="1" si="4"/>
        <v>76.545454545454547</v>
      </c>
      <c r="J26" s="47" t="e">
        <f t="shared" ca="1" si="4"/>
        <v>#VALUE!</v>
      </c>
      <c r="K26" s="47">
        <f t="shared" ca="1" si="4"/>
        <v>80.545454545454547</v>
      </c>
      <c r="L26" s="47" t="e">
        <f t="shared" si="4"/>
        <v>#DIV/0!</v>
      </c>
      <c r="M26" s="47">
        <f t="shared" ca="1" si="4"/>
        <v>75.336363636363629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55118110236220474" bottom="0.74803149606299213" header="0.31496062992125984" footer="0.31496062992125984"/>
  <pageSetup scale="80" orientation="portrait" horizontalDpi="4294967293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47B8-E399-42E3-A7F3-4FB472BF15C8}">
  <sheetPr codeName="Sheet10"/>
  <dimension ref="B1:AG32"/>
  <sheetViews>
    <sheetView showGridLines="0" topLeftCell="A4" zoomScale="110" zoomScaleNormal="100" workbookViewId="0">
      <selection activeCell="I22" sqref="I22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45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6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Estrada Kajihara, Yaretzi Hatsue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88</v>
      </c>
      <c r="F14" s="48"/>
      <c r="G14" s="47">
        <f ca="1">GetValue($C14,  AC1, "F", $V$2)</f>
        <v>66</v>
      </c>
      <c r="H14" s="48"/>
      <c r="I14" s="47">
        <f ca="1">GetValue($C14,  AE1, "F", $V$2)</f>
        <v>96</v>
      </c>
      <c r="J14" s="48"/>
      <c r="K14" s="47">
        <f ca="1">GetValue($C14,  AG1, "F", $V$2)</f>
        <v>90</v>
      </c>
      <c r="L14" s="49"/>
      <c r="M14" s="50">
        <f ca="1">(K14*0.35)+(I14*0.25)+(G14*0.2)+(E14*0.2)</f>
        <v>86.300000000000011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88</v>
      </c>
      <c r="F15" s="48"/>
      <c r="G15" s="47">
        <f ca="1">GetValue($C15,  AC1, "H", $V$2)</f>
        <v>66</v>
      </c>
      <c r="H15" s="48"/>
      <c r="I15" s="47">
        <f ca="1">GetValue($C15,  AE1, "H", $V$2)</f>
        <v>96</v>
      </c>
      <c r="J15" s="48"/>
      <c r="K15" s="47">
        <f ca="1">GetValue($C15,  AG1, "H", $V$2)</f>
        <v>92</v>
      </c>
      <c r="L15" s="49"/>
      <c r="M15" s="50">
        <f t="shared" ref="M15:M24" ca="1" si="0">(K15*0.35)+(I15*0.25)+(G15*0.2)+(E15*0.2)</f>
        <v>87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88</v>
      </c>
      <c r="F16" s="48"/>
      <c r="G16" s="47">
        <f ca="1">GetValue($C16,  AC1, "J", $V$2)</f>
        <v>89.5</v>
      </c>
      <c r="H16" s="48"/>
      <c r="I16" s="47">
        <f ca="1">GetValue($C16,  AE1, "J", $V$2)</f>
        <v>100</v>
      </c>
      <c r="J16" s="48"/>
      <c r="K16" s="47">
        <f ca="1">GetValue($C16,  AG1, "J", $V$2)</f>
        <v>69</v>
      </c>
      <c r="L16" s="49"/>
      <c r="M16" s="50">
        <f t="shared" ca="1" si="0"/>
        <v>84.65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85</v>
      </c>
      <c r="F17" s="48"/>
      <c r="G17" s="47">
        <f ca="1">GetValue($C17,  AC1, "L", $V$2)</f>
        <v>85</v>
      </c>
      <c r="H17" s="48"/>
      <c r="I17" s="47">
        <f ca="1">GetValue($C17,  AE1, "L", $V$2)</f>
        <v>74</v>
      </c>
      <c r="J17" s="48"/>
      <c r="K17" s="47">
        <f ca="1">GetValue($C17,  AG1, "L", $V$2)</f>
        <v>90</v>
      </c>
      <c r="L17" s="49"/>
      <c r="M17" s="50">
        <f t="shared" ca="1" si="0"/>
        <v>84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84</v>
      </c>
      <c r="F18" s="48"/>
      <c r="G18" s="47">
        <f ca="1">GetValue($C18,  AC1, "N", $V$2)</f>
        <v>100</v>
      </c>
      <c r="H18" s="48"/>
      <c r="I18" s="47">
        <f ca="1">GetValue($C18,  AE1, "N", $V$2)</f>
        <v>96</v>
      </c>
      <c r="J18" s="48"/>
      <c r="K18" s="47">
        <f ca="1">GetValue($C18,  AG1, "N", $V$2)</f>
        <v>84</v>
      </c>
      <c r="L18" s="49"/>
      <c r="M18" s="50">
        <f t="shared" ca="1" si="0"/>
        <v>90.2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99</v>
      </c>
      <c r="F19" s="48"/>
      <c r="G19" s="47">
        <f ca="1">GetValue($C19,  AC1, "P", $V$2)</f>
        <v>80</v>
      </c>
      <c r="H19" s="48"/>
      <c r="I19" s="47">
        <f ca="1">GetValue($C19,  AE1, "P", $V$2)</f>
        <v>60</v>
      </c>
      <c r="J19" s="48"/>
      <c r="K19" s="47">
        <f ca="1">GetValue($C19,  AG1, "P", $V$2)</f>
        <v>86</v>
      </c>
      <c r="L19" s="49"/>
      <c r="M19" s="50">
        <f t="shared" ca="1" si="0"/>
        <v>80.899999999999991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92</v>
      </c>
      <c r="F20" s="48"/>
      <c r="G20" s="47">
        <f ca="1">GetValue($C20,  AC1, "R", $V$2)</f>
        <v>84</v>
      </c>
      <c r="H20" s="48"/>
      <c r="I20" s="47">
        <f ca="1">GetValue($C20,  AE1, "R", $V$2)</f>
        <v>98</v>
      </c>
      <c r="J20" s="48"/>
      <c r="K20" s="47">
        <f ca="1">GetValue($C20,  AG1, "R", $V$2)</f>
        <v>96</v>
      </c>
      <c r="L20" s="49"/>
      <c r="M20" s="50">
        <f t="shared" ca="1" si="0"/>
        <v>93.3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77</v>
      </c>
      <c r="F21" s="48"/>
      <c r="G21" s="47">
        <f ca="1">GetValue($C21,  AC1, "T", $V$2)</f>
        <v>78</v>
      </c>
      <c r="H21" s="48"/>
      <c r="I21" s="47">
        <f ca="1">GetValue($C21,  AE1, "T", $V$2)</f>
        <v>100</v>
      </c>
      <c r="J21" s="48"/>
      <c r="K21" s="47">
        <f ca="1">GetValue($C21,  AG1, "T", $V$2)</f>
        <v>97</v>
      </c>
      <c r="L21" s="49"/>
      <c r="M21" s="50">
        <f t="shared" ca="1" si="0"/>
        <v>89.95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95</v>
      </c>
      <c r="F22" s="48"/>
      <c r="G22" s="47">
        <f ca="1">GetValue($C22,  AC1, "V", $V$2)</f>
        <v>95</v>
      </c>
      <c r="H22" s="48"/>
      <c r="I22" s="47">
        <f ca="1">GetValue($C22,  AE1, "V", $V$2)</f>
        <v>95</v>
      </c>
      <c r="J22" s="48"/>
      <c r="K22" s="47">
        <f ca="1">GetValue($C22,  AG1, "V", $V$2)</f>
        <v>95</v>
      </c>
      <c r="L22" s="49"/>
      <c r="M22" s="50">
        <f t="shared" ca="1" si="0"/>
        <v>95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92</v>
      </c>
      <c r="F23" s="48"/>
      <c r="G23" s="47">
        <f ca="1">GetValue($C23,  AC1, "X", $V$2)</f>
        <v>90</v>
      </c>
      <c r="H23" s="48"/>
      <c r="I23" s="47">
        <f ca="1">GetValue($C23,  AE1, "X", $V$2)</f>
        <v>98</v>
      </c>
      <c r="J23" s="48"/>
      <c r="K23" s="47">
        <f ca="1">GetValue($C23,  AG1, "X", $V$2)</f>
        <v>45</v>
      </c>
      <c r="L23" s="49"/>
      <c r="M23" s="50">
        <f t="shared" ca="1" si="0"/>
        <v>76.650000000000006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82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85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83.65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88.181818181818187</v>
      </c>
      <c r="F26" s="47" t="e">
        <f t="shared" ref="F26:M26" ca="1" si="4">AVERAGE(F14:F24)</f>
        <v>#VALUE!</v>
      </c>
      <c r="G26" s="47">
        <f t="shared" ca="1" si="4"/>
        <v>83.954545454545453</v>
      </c>
      <c r="H26" s="47" t="e">
        <f t="shared" ca="1" si="4"/>
        <v>#VALUE!</v>
      </c>
      <c r="I26" s="47">
        <f t="shared" ca="1" si="4"/>
        <v>90.727272727272734</v>
      </c>
      <c r="J26" s="47" t="e">
        <f t="shared" ca="1" si="4"/>
        <v>#VALUE!</v>
      </c>
      <c r="K26" s="47">
        <f t="shared" ca="1" si="4"/>
        <v>84</v>
      </c>
      <c r="L26" s="47" t="e">
        <f t="shared" si="4"/>
        <v>#DIV/0!</v>
      </c>
      <c r="M26" s="47">
        <f t="shared" ca="1" si="4"/>
        <v>86.509090909090915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9033-A12D-48D4-BC7F-7F8453B866DF}">
  <sheetPr codeName="Sheet11"/>
  <dimension ref="B1:AG32"/>
  <sheetViews>
    <sheetView showGridLines="0" topLeftCell="A4" zoomScale="110" zoomScaleNormal="100" workbookViewId="0">
      <selection activeCell="R17" sqref="R17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46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7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González Contreras, Joseph Ezequías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96</v>
      </c>
      <c r="F14" s="48"/>
      <c r="G14" s="47">
        <f ca="1">GetValue($C14,  AC1, "F", $V$2)</f>
        <v>59</v>
      </c>
      <c r="H14" s="48"/>
      <c r="I14" s="47">
        <f ca="1">GetValue($C14,  AE1, "F", $V$2)</f>
        <v>91</v>
      </c>
      <c r="J14" s="48"/>
      <c r="K14" s="47">
        <f ca="1">GetValue($C14,  AG1, "F", $V$2)</f>
        <v>85</v>
      </c>
      <c r="L14" s="49"/>
      <c r="M14" s="50">
        <f ca="1">(K14*0.35)+(I14*0.25)+(G14*0.2)+(E14*0.2)</f>
        <v>83.5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96</v>
      </c>
      <c r="F15" s="48"/>
      <c r="G15" s="47">
        <f ca="1">GetValue($C15,  AC1, "H", $V$2)</f>
        <v>59</v>
      </c>
      <c r="H15" s="48"/>
      <c r="I15" s="47">
        <f ca="1">GetValue($C15,  AE1, "H", $V$2)</f>
        <v>91</v>
      </c>
      <c r="J15" s="48"/>
      <c r="K15" s="47">
        <f ca="1">GetValue($C15,  AG1, "H", $V$2)</f>
        <v>81</v>
      </c>
      <c r="L15" s="49"/>
      <c r="M15" s="50">
        <f t="shared" ref="M15:M24" ca="1" si="0">(K15*0.35)+(I15*0.25)+(G15*0.2)+(E15*0.2)</f>
        <v>82.1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82</v>
      </c>
      <c r="F16" s="48"/>
      <c r="G16" s="47">
        <f ca="1">GetValue($C16,  AC1, "J", $V$2)</f>
        <v>68</v>
      </c>
      <c r="H16" s="48"/>
      <c r="I16" s="47">
        <f ca="1">GetValue($C16,  AE1, "J", $V$2)</f>
        <v>78</v>
      </c>
      <c r="J16" s="48"/>
      <c r="K16" s="47">
        <f ca="1">GetValue($C16,  AG1, "J", $V$2)</f>
        <v>60</v>
      </c>
      <c r="L16" s="49"/>
      <c r="M16" s="50">
        <f t="shared" ca="1" si="0"/>
        <v>70.5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90</v>
      </c>
      <c r="F17" s="48"/>
      <c r="G17" s="47">
        <f ca="1">GetValue($C17,  AC1, "L", $V$2)</f>
        <v>53</v>
      </c>
      <c r="H17" s="48"/>
      <c r="I17" s="47">
        <f ca="1">GetValue($C17,  AE1, "L", $V$2)</f>
        <v>76</v>
      </c>
      <c r="J17" s="48"/>
      <c r="K17" s="47">
        <f ca="1">GetValue($C17,  AG1, "L", $V$2)</f>
        <v>73</v>
      </c>
      <c r="L17" s="49"/>
      <c r="M17" s="50">
        <f t="shared" ca="1" si="0"/>
        <v>73.150000000000006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61</v>
      </c>
      <c r="F18" s="48"/>
      <c r="G18" s="47">
        <f ca="1">GetValue($C18,  AC1, "N", $V$2)</f>
        <v>74</v>
      </c>
      <c r="H18" s="48"/>
      <c r="I18" s="47">
        <f ca="1">GetValue($C18,  AE1, "N", $V$2)</f>
        <v>66</v>
      </c>
      <c r="J18" s="48"/>
      <c r="K18" s="47">
        <f ca="1">GetValue($C18,  AG1, "N", $V$2)</f>
        <v>40</v>
      </c>
      <c r="L18" s="49"/>
      <c r="M18" s="50">
        <v>60</v>
      </c>
      <c r="N18" s="9"/>
      <c r="O18" s="14" t="str">
        <f t="shared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56</v>
      </c>
      <c r="F19" s="48"/>
      <c r="G19" s="47">
        <f ca="1">GetValue($C19,  AC1, "P", $V$2)</f>
        <v>40</v>
      </c>
      <c r="H19" s="48"/>
      <c r="I19" s="47">
        <f ca="1">GetValue($C19,  AE1, "P", $V$2)</f>
        <v>60</v>
      </c>
      <c r="J19" s="48"/>
      <c r="K19" s="47">
        <f ca="1">GetValue($C19,  AG1, "P", $V$2)</f>
        <v>82</v>
      </c>
      <c r="L19" s="49"/>
      <c r="M19" s="50">
        <f t="shared" ca="1" si="0"/>
        <v>62.900000000000006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79</v>
      </c>
      <c r="F20" s="48"/>
      <c r="G20" s="47">
        <f ca="1">GetValue($C20,  AC1, "R", $V$2)</f>
        <v>84</v>
      </c>
      <c r="H20" s="48"/>
      <c r="I20" s="47">
        <f ca="1">GetValue($C20,  AE1, "R", $V$2)</f>
        <v>98</v>
      </c>
      <c r="J20" s="48"/>
      <c r="K20" s="47">
        <f ca="1">GetValue($C20,  AG1, "R", $V$2)</f>
        <v>98</v>
      </c>
      <c r="L20" s="49"/>
      <c r="M20" s="50">
        <f t="shared" ca="1" si="0"/>
        <v>91.399999999999991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88</v>
      </c>
      <c r="F21" s="48"/>
      <c r="G21" s="47">
        <f ca="1">GetValue($C21,  AC1, "T", $V$2)</f>
        <v>74</v>
      </c>
      <c r="H21" s="48"/>
      <c r="I21" s="47">
        <f ca="1">GetValue($C21,  AE1, "T", $V$2)</f>
        <v>98</v>
      </c>
      <c r="J21" s="48"/>
      <c r="K21" s="47">
        <f ca="1">GetValue($C21,  AG1, "T", $V$2)</f>
        <v>95</v>
      </c>
      <c r="L21" s="49"/>
      <c r="M21" s="50">
        <f t="shared" ca="1" si="0"/>
        <v>90.15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90</v>
      </c>
      <c r="F22" s="48"/>
      <c r="G22" s="47">
        <f ca="1">GetValue($C22,  AC1, "V", $V$2)</f>
        <v>90</v>
      </c>
      <c r="H22" s="48"/>
      <c r="I22" s="47">
        <f ca="1">GetValue($C22,  AE1, "V", $V$2)</f>
        <v>90</v>
      </c>
      <c r="J22" s="48"/>
      <c r="K22" s="47">
        <f ca="1">GetValue($C22,  AG1, "V", $V$2)</f>
        <v>90</v>
      </c>
      <c r="L22" s="49"/>
      <c r="M22" s="50">
        <f t="shared" ca="1" si="0"/>
        <v>90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81</v>
      </c>
      <c r="F23" s="48"/>
      <c r="G23" s="47">
        <f ca="1">GetValue($C23,  AC1, "X", $V$2)</f>
        <v>90</v>
      </c>
      <c r="H23" s="48"/>
      <c r="I23" s="47">
        <f ca="1">GetValue($C23,  AE1, "X", $V$2)</f>
        <v>96</v>
      </c>
      <c r="J23" s="48"/>
      <c r="K23" s="47">
        <f ca="1">GetValue($C23,  AG1, "X", $V$2)</f>
        <v>50</v>
      </c>
      <c r="L23" s="49"/>
      <c r="M23" s="50">
        <f t="shared" ca="1" si="0"/>
        <v>75.7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80</v>
      </c>
      <c r="F24" s="47" t="e">
        <f t="shared" ref="F24:K24" ca="1" si="2">GetValue($C24,  AB1, "z", $V$2)</f>
        <v>#VALUE!</v>
      </c>
      <c r="G24" s="47">
        <f t="shared" ca="1" si="2"/>
        <v>88</v>
      </c>
      <c r="H24" s="47" t="e">
        <f t="shared" ca="1" si="2"/>
        <v>#VALUE!</v>
      </c>
      <c r="I24" s="47">
        <f t="shared" ca="1" si="2"/>
        <v>80</v>
      </c>
      <c r="J24" s="47" t="e">
        <f t="shared" ca="1" si="2"/>
        <v>#VALUE!</v>
      </c>
      <c r="K24" s="47">
        <f t="shared" ca="1" si="2"/>
        <v>70</v>
      </c>
      <c r="L24" s="30"/>
      <c r="M24" s="50">
        <f t="shared" ca="1" si="0"/>
        <v>78.099999999999994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81.727272727272734</v>
      </c>
      <c r="F26" s="47" t="e">
        <f t="shared" ref="F26:N26" ca="1" si="4">AVERAGE(F14:F24)</f>
        <v>#VALUE!</v>
      </c>
      <c r="G26" s="47">
        <f t="shared" ca="1" si="4"/>
        <v>70.818181818181813</v>
      </c>
      <c r="H26" s="47" t="e">
        <f t="shared" ca="1" si="4"/>
        <v>#VALUE!</v>
      </c>
      <c r="I26" s="47">
        <f t="shared" ca="1" si="4"/>
        <v>84</v>
      </c>
      <c r="J26" s="47" t="e">
        <f t="shared" ca="1" si="4"/>
        <v>#VALUE!</v>
      </c>
      <c r="K26" s="47">
        <f t="shared" ca="1" si="4"/>
        <v>74.909090909090907</v>
      </c>
      <c r="L26" s="47" t="e">
        <f t="shared" si="4"/>
        <v>#DIV/0!</v>
      </c>
      <c r="M26" s="47">
        <f t="shared" ca="1" si="4"/>
        <v>77.954545454545453</v>
      </c>
      <c r="N26" s="47" t="e">
        <f t="shared" si="4"/>
        <v>#DIV/0!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925E1-F07D-44C7-BE22-DD4D21FD77C9}">
  <sheetPr codeName="Sheet12"/>
  <dimension ref="B1:AG32"/>
  <sheetViews>
    <sheetView showGridLines="0" topLeftCell="A7" zoomScale="110" zoomScaleNormal="100" workbookViewId="0">
      <selection activeCell="P28" sqref="P28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47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8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Lee Toribio, Jhefferson Harin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90</v>
      </c>
      <c r="F14" s="48"/>
      <c r="G14" s="47">
        <f ca="1">GetValue($C14,  AC1, "F", $V$2)</f>
        <v>73</v>
      </c>
      <c r="H14" s="48"/>
      <c r="I14" s="47">
        <f ca="1">GetValue($C14,  AE1, "F", $V$2)</f>
        <v>91</v>
      </c>
      <c r="J14" s="48"/>
      <c r="K14" s="47">
        <f ca="1">GetValue($C14,  AG1, "F", $V$2)</f>
        <v>100</v>
      </c>
      <c r="L14" s="49"/>
      <c r="M14" s="50">
        <f ca="1">(K14*0.35)+(I14*0.25)+(G14*0.2)+(E14*0.2)</f>
        <v>90.35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90</v>
      </c>
      <c r="F15" s="48"/>
      <c r="G15" s="47">
        <f ca="1">GetValue($C15,  AC1, "H", $V$2)</f>
        <v>73</v>
      </c>
      <c r="H15" s="48"/>
      <c r="I15" s="47">
        <f ca="1">GetValue($C15,  AE1, "H", $V$2)</f>
        <v>91</v>
      </c>
      <c r="J15" s="48"/>
      <c r="K15" s="47">
        <f ca="1">GetValue($C15,  AG1, "H", $V$2)</f>
        <v>89</v>
      </c>
      <c r="L15" s="49"/>
      <c r="M15" s="50">
        <f t="shared" ref="M15:M24" ca="1" si="0">(K15*0.35)+(I15*0.25)+(G15*0.2)+(E15*0.2)</f>
        <v>86.5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81</v>
      </c>
      <c r="F16" s="48"/>
      <c r="G16" s="47">
        <f ca="1">GetValue($C16,  AC1, "J", $V$2)</f>
        <v>94.5</v>
      </c>
      <c r="H16" s="48"/>
      <c r="I16" s="47">
        <f ca="1">GetValue($C16,  AE1, "J", $V$2)</f>
        <v>74</v>
      </c>
      <c r="J16" s="48"/>
      <c r="K16" s="47">
        <f ca="1">GetValue($C16,  AG1, "J", $V$2)</f>
        <v>90</v>
      </c>
      <c r="L16" s="49"/>
      <c r="M16" s="50">
        <f t="shared" ca="1" si="0"/>
        <v>85.100000000000009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83</v>
      </c>
      <c r="F17" s="48"/>
      <c r="G17" s="47">
        <f ca="1">GetValue($C17,  AC1, "L", $V$2)</f>
        <v>100</v>
      </c>
      <c r="H17" s="48"/>
      <c r="I17" s="47">
        <f ca="1">GetValue($C17,  AE1, "L", $V$2)</f>
        <v>97</v>
      </c>
      <c r="J17" s="48"/>
      <c r="K17" s="47">
        <f ca="1">GetValue($C17,  AG1, "L", $V$2)</f>
        <v>100</v>
      </c>
      <c r="L17" s="49"/>
      <c r="M17" s="50">
        <f t="shared" ca="1" si="0"/>
        <v>95.85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85</v>
      </c>
      <c r="F18" s="48"/>
      <c r="G18" s="47">
        <f ca="1">GetValue($C18,  AC1, "N", $V$2)</f>
        <v>100</v>
      </c>
      <c r="H18" s="48"/>
      <c r="I18" s="47">
        <f ca="1">GetValue($C18,  AE1, "N", $V$2)</f>
        <v>100</v>
      </c>
      <c r="J18" s="48"/>
      <c r="K18" s="47">
        <f ca="1">GetValue($C18,  AG1, "N", $V$2)</f>
        <v>83</v>
      </c>
      <c r="L18" s="49"/>
      <c r="M18" s="50">
        <f t="shared" ca="1" si="0"/>
        <v>91.05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87</v>
      </c>
      <c r="F19" s="48"/>
      <c r="G19" s="47">
        <f ca="1">GetValue($C19,  AC1, "P", $V$2)</f>
        <v>66</v>
      </c>
      <c r="H19" s="48"/>
      <c r="I19" s="47">
        <f ca="1">GetValue($C19,  AE1, "P", $V$2)</f>
        <v>100</v>
      </c>
      <c r="J19" s="48"/>
      <c r="K19" s="47">
        <f ca="1">GetValue($C19,  AG1, "P", $V$2)</f>
        <v>95</v>
      </c>
      <c r="L19" s="49"/>
      <c r="M19" s="50">
        <f t="shared" ca="1" si="0"/>
        <v>88.850000000000009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80</v>
      </c>
      <c r="F20" s="48"/>
      <c r="G20" s="47">
        <f ca="1">GetValue($C20,  AC1, "R", $V$2)</f>
        <v>95</v>
      </c>
      <c r="H20" s="48"/>
      <c r="I20" s="47">
        <f ca="1">GetValue($C20,  AE1, "R", $V$2)</f>
        <v>95</v>
      </c>
      <c r="J20" s="48"/>
      <c r="K20" s="47">
        <f ca="1">GetValue($C20,  AG1, "R", $V$2)</f>
        <v>95</v>
      </c>
      <c r="L20" s="49"/>
      <c r="M20" s="50">
        <f t="shared" ca="1" si="0"/>
        <v>92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90</v>
      </c>
      <c r="F21" s="48"/>
      <c r="G21" s="47">
        <f ca="1">GetValue($C21,  AC1, "T", $V$2)</f>
        <v>73</v>
      </c>
      <c r="H21" s="48"/>
      <c r="I21" s="47">
        <f ca="1">GetValue($C21,  AE1, "T", $V$2)</f>
        <v>96</v>
      </c>
      <c r="J21" s="48"/>
      <c r="K21" s="47">
        <f ca="1">GetValue($C21,  AG1, "T", $V$2)</f>
        <v>97</v>
      </c>
      <c r="L21" s="49"/>
      <c r="M21" s="50">
        <f t="shared" ca="1" si="0"/>
        <v>90.55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95</v>
      </c>
      <c r="F22" s="48"/>
      <c r="G22" s="47">
        <f ca="1">GetValue($C22,  AC1, "V", $V$2)</f>
        <v>95</v>
      </c>
      <c r="H22" s="48"/>
      <c r="I22" s="47">
        <f ca="1">GetValue($C22,  AE1, "V", $V$2)</f>
        <v>85</v>
      </c>
      <c r="J22" s="48"/>
      <c r="K22" s="47">
        <f ca="1">GetValue($C22,  AG1, "V", $V$2)</f>
        <v>85</v>
      </c>
      <c r="L22" s="49"/>
      <c r="M22" s="50">
        <f t="shared" ca="1" si="0"/>
        <v>89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96</v>
      </c>
      <c r="F23" s="48"/>
      <c r="G23" s="47">
        <f ca="1">GetValue($C23,  AC1, "X", $V$2)</f>
        <v>80</v>
      </c>
      <c r="H23" s="48"/>
      <c r="I23" s="47">
        <f ca="1">GetValue($C23,  AE1, "X", $V$2)</f>
        <v>91</v>
      </c>
      <c r="J23" s="48"/>
      <c r="K23" s="47">
        <f ca="1">GetValue($C23,  AG1, "X", $V$2)</f>
        <v>75</v>
      </c>
      <c r="L23" s="49"/>
      <c r="M23" s="50">
        <f t="shared" ca="1" si="0"/>
        <v>84.2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85</v>
      </c>
      <c r="F24" s="47" t="e">
        <f t="shared" ref="F24:K24" ca="1" si="2">GetValue($C24,  AB1, "z", $V$2)</f>
        <v>#VALUE!</v>
      </c>
      <c r="G24" s="47">
        <f t="shared" ca="1" si="2"/>
        <v>70</v>
      </c>
      <c r="H24" s="47" t="e">
        <f t="shared" ca="1" si="2"/>
        <v>#VALUE!</v>
      </c>
      <c r="I24" s="47">
        <f t="shared" ca="1" si="2"/>
        <v>90</v>
      </c>
      <c r="J24" s="47" t="e">
        <f t="shared" ca="1" si="2"/>
        <v>#VALUE!</v>
      </c>
      <c r="K24" s="47">
        <f t="shared" ca="1" si="2"/>
        <v>100</v>
      </c>
      <c r="L24" s="30"/>
      <c r="M24" s="50">
        <f t="shared" ca="1" si="0"/>
        <v>88.5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87.454545454545453</v>
      </c>
      <c r="F26" s="47" t="e">
        <f t="shared" ref="F26:M26" ca="1" si="4">AVERAGE(F14:F24)</f>
        <v>#VALUE!</v>
      </c>
      <c r="G26" s="47">
        <f t="shared" ca="1" si="4"/>
        <v>83.590909090909093</v>
      </c>
      <c r="H26" s="47" t="e">
        <f t="shared" ca="1" si="4"/>
        <v>#VALUE!</v>
      </c>
      <c r="I26" s="47">
        <f t="shared" ca="1" si="4"/>
        <v>91.818181818181813</v>
      </c>
      <c r="J26" s="47" t="e">
        <f t="shared" ca="1" si="4"/>
        <v>#VALUE!</v>
      </c>
      <c r="K26" s="47">
        <f t="shared" ca="1" si="4"/>
        <v>91.727272727272734</v>
      </c>
      <c r="L26" s="47" t="e">
        <f t="shared" si="4"/>
        <v>#DIV/0!</v>
      </c>
      <c r="M26" s="47">
        <f t="shared" ca="1" si="4"/>
        <v>89.268181818181816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EA15-9AF6-47B3-A2B4-20EE43C20053}">
  <sheetPr codeName="Sheet13"/>
  <dimension ref="B1:AG32"/>
  <sheetViews>
    <sheetView showGridLines="0" topLeftCell="A7" zoomScale="110" zoomScaleNormal="100" workbookViewId="0">
      <selection activeCell="Q26" sqref="Q26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48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9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Lobos Cedillo, Luis Alejandro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75</v>
      </c>
      <c r="F14" s="48"/>
      <c r="G14" s="47">
        <f ca="1">GetValue($C14,  AC1, "F", $V$2)</f>
        <v>43</v>
      </c>
      <c r="H14" s="48"/>
      <c r="I14" s="47">
        <f ca="1">GetValue($C14,  AE1, "F", $V$2)</f>
        <v>86</v>
      </c>
      <c r="J14" s="48"/>
      <c r="K14" s="47">
        <f ca="1">GetValue($C14,  AG1, "F", $V$2)</f>
        <v>80</v>
      </c>
      <c r="L14" s="49"/>
      <c r="M14" s="50">
        <f ca="1">(K14*0.35)+(I14*0.25)+(G14*0.2)+(E14*0.2)</f>
        <v>73.099999999999994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75</v>
      </c>
      <c r="F15" s="48"/>
      <c r="G15" s="47">
        <f ca="1">GetValue($C15,  AC1, "H", $V$2)</f>
        <v>43</v>
      </c>
      <c r="H15" s="48"/>
      <c r="I15" s="47">
        <f ca="1">GetValue($C15,  AE1, "H", $V$2)</f>
        <v>86</v>
      </c>
      <c r="J15" s="48"/>
      <c r="K15" s="47">
        <f ca="1">GetValue($C15,  AG1, "H", $V$2)</f>
        <v>82</v>
      </c>
      <c r="L15" s="49"/>
      <c r="M15" s="50">
        <f t="shared" ref="M15:M24" ca="1" si="0">(K15*0.35)+(I15*0.25)+(G15*0.2)+(E15*0.2)</f>
        <v>73.800000000000011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73</v>
      </c>
      <c r="F16" s="48"/>
      <c r="G16" s="47">
        <f ca="1">GetValue($C16,  AC1, "J", $V$2)</f>
        <v>77.5</v>
      </c>
      <c r="H16" s="48"/>
      <c r="I16" s="47">
        <f ca="1">GetValue($C16,  AE1, "J", $V$2)</f>
        <v>77</v>
      </c>
      <c r="J16" s="48"/>
      <c r="K16" s="47">
        <f ca="1">GetValue($C16,  AG1, "J", $V$2)</f>
        <v>68</v>
      </c>
      <c r="L16" s="49"/>
      <c r="M16" s="50">
        <f t="shared" ca="1" si="0"/>
        <v>73.150000000000006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40</v>
      </c>
      <c r="F17" s="48"/>
      <c r="G17" s="47">
        <f ca="1">GetValue($C17,  AC1, "L", $V$2)</f>
        <v>62</v>
      </c>
      <c r="H17" s="48"/>
      <c r="I17" s="47">
        <f ca="1">GetValue($C17,  AE1, "L", $V$2)</f>
        <v>51</v>
      </c>
      <c r="J17" s="48"/>
      <c r="K17" s="47">
        <f ca="1">GetValue($C17,  AG1, "L", $V$2)</f>
        <v>85</v>
      </c>
      <c r="L17" s="49"/>
      <c r="M17" s="50">
        <f t="shared" ca="1" si="0"/>
        <v>62.9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61</v>
      </c>
      <c r="F18" s="48"/>
      <c r="G18" s="47">
        <f ca="1">GetValue($C18,  AC1, "N", $V$2)</f>
        <v>88</v>
      </c>
      <c r="H18" s="48"/>
      <c r="I18" s="47">
        <f ca="1">GetValue($C18,  AE1, "N", $V$2)</f>
        <v>93</v>
      </c>
      <c r="J18" s="48"/>
      <c r="K18" s="47">
        <f ca="1">GetValue($C18,  AG1, "N", $V$2)</f>
        <v>67</v>
      </c>
      <c r="L18" s="49"/>
      <c r="M18" s="50">
        <f t="shared" ca="1" si="0"/>
        <v>76.500000000000014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68</v>
      </c>
      <c r="F19" s="48"/>
      <c r="G19" s="47">
        <f ca="1">GetValue($C19,  AC1, "P", $V$2)</f>
        <v>87</v>
      </c>
      <c r="H19" s="48"/>
      <c r="I19" s="47">
        <f ca="1">GetValue($C19,  AE1, "P", $V$2)</f>
        <v>68</v>
      </c>
      <c r="J19" s="48"/>
      <c r="K19" s="47">
        <f ca="1">GetValue($C19,  AG1, "P", $V$2)</f>
        <v>74</v>
      </c>
      <c r="L19" s="49"/>
      <c r="M19" s="50">
        <f t="shared" ca="1" si="0"/>
        <v>73.900000000000006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62</v>
      </c>
      <c r="F20" s="48"/>
      <c r="G20" s="47">
        <f ca="1">GetValue($C20,  AC1, "R", $V$2)</f>
        <v>92</v>
      </c>
      <c r="H20" s="48"/>
      <c r="I20" s="47">
        <f ca="1">GetValue($C20,  AE1, "R", $V$2)</f>
        <v>70</v>
      </c>
      <c r="J20" s="48"/>
      <c r="K20" s="47">
        <f ca="1">GetValue($C20,  AG1, "R", $V$2)</f>
        <v>66</v>
      </c>
      <c r="L20" s="49"/>
      <c r="M20" s="50">
        <f t="shared" ca="1" si="0"/>
        <v>71.400000000000006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82</v>
      </c>
      <c r="F21" s="48"/>
      <c r="G21" s="47">
        <f ca="1">GetValue($C21,  AC1, "T", $V$2)</f>
        <v>73</v>
      </c>
      <c r="H21" s="48"/>
      <c r="I21" s="47">
        <f ca="1">GetValue($C21,  AE1, "T", $V$2)</f>
        <v>57</v>
      </c>
      <c r="J21" s="48"/>
      <c r="K21" s="47">
        <f ca="1">GetValue($C21,  AG1, "T", $V$2)</f>
        <v>54</v>
      </c>
      <c r="L21" s="49"/>
      <c r="M21" s="50">
        <f t="shared" ca="1" si="0"/>
        <v>64.150000000000006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95</v>
      </c>
      <c r="F22" s="48"/>
      <c r="G22" s="47">
        <f ca="1">GetValue($C22,  AC1, "V", $V$2)</f>
        <v>65</v>
      </c>
      <c r="H22" s="48"/>
      <c r="I22" s="47">
        <f ca="1">GetValue($C22,  AE1, "V", $V$2)</f>
        <v>70</v>
      </c>
      <c r="J22" s="48"/>
      <c r="K22" s="47">
        <f ca="1">GetValue($C22,  AG1, "V", $V$2)</f>
        <v>70</v>
      </c>
      <c r="L22" s="49"/>
      <c r="M22" s="50">
        <f t="shared" ca="1" si="0"/>
        <v>74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93</v>
      </c>
      <c r="F23" s="48"/>
      <c r="G23" s="47">
        <f ca="1">GetValue($C23,  AC1, "X", $V$2)</f>
        <v>90</v>
      </c>
      <c r="H23" s="48"/>
      <c r="I23" s="47">
        <f ca="1">GetValue($C23,  AE1, "X", $V$2)</f>
        <v>77</v>
      </c>
      <c r="J23" s="48"/>
      <c r="K23" s="47">
        <f ca="1">GetValue($C23,  AG1, "X", $V$2)</f>
        <v>80</v>
      </c>
      <c r="L23" s="49"/>
      <c r="M23" s="50">
        <f t="shared" ca="1" si="0"/>
        <v>83.85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90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80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84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74</v>
      </c>
      <c r="F26" s="47" t="e">
        <f t="shared" ref="F26:M26" ca="1" si="4">AVERAGE(F14:F24)</f>
        <v>#VALUE!</v>
      </c>
      <c r="G26" s="47">
        <f t="shared" ca="1" si="4"/>
        <v>73.681818181818187</v>
      </c>
      <c r="H26" s="47" t="e">
        <f t="shared" ca="1" si="4"/>
        <v>#VALUE!</v>
      </c>
      <c r="I26" s="47">
        <f t="shared" ca="1" si="4"/>
        <v>74.090909090909093</v>
      </c>
      <c r="J26" s="47" t="e">
        <f t="shared" ca="1" si="4"/>
        <v>#VALUE!</v>
      </c>
      <c r="K26" s="47">
        <f t="shared" ca="1" si="4"/>
        <v>73.272727272727266</v>
      </c>
      <c r="L26" s="47" t="e">
        <f t="shared" si="4"/>
        <v>#DIV/0!</v>
      </c>
      <c r="M26" s="47">
        <f t="shared" ca="1" si="4"/>
        <v>73.704545454545453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4C8B5-DF9A-4BF5-858B-ECC9A4492156}">
  <sheetPr codeName="Sheet14"/>
  <dimension ref="B1:AG32"/>
  <sheetViews>
    <sheetView showGridLines="0" topLeftCell="A7" zoomScale="110" zoomScaleNormal="100" workbookViewId="0">
      <selection activeCell="K25" sqref="K25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49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10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López Martínez, Dafne Jasare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83</v>
      </c>
      <c r="F14" s="48"/>
      <c r="G14" s="47">
        <f ca="1">GetValue($C14,  AC1, "F", $V$2)</f>
        <v>32</v>
      </c>
      <c r="H14" s="48"/>
      <c r="I14" s="47">
        <f ca="1">(I16+I17+I18+I21)/4</f>
        <v>86.5</v>
      </c>
      <c r="J14" s="48"/>
      <c r="K14" s="47">
        <v>80</v>
      </c>
      <c r="L14" s="49"/>
      <c r="M14" s="50">
        <f ca="1">(K14*0.35)+(I14*0.25)+(G14*0.2)+(E14*0.2)</f>
        <v>72.625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83</v>
      </c>
      <c r="F15" s="48"/>
      <c r="G15" s="47">
        <f ca="1">GetValue($C15,  AC1, "H", $V$2)</f>
        <v>32</v>
      </c>
      <c r="H15" s="48"/>
      <c r="I15" s="47">
        <v>87</v>
      </c>
      <c r="J15" s="48"/>
      <c r="K15" s="47">
        <v>80</v>
      </c>
      <c r="L15" s="49"/>
      <c r="M15" s="50">
        <f t="shared" ref="M15:M24" ca="1" si="0">(K15*0.35)+(I15*0.25)+(G15*0.2)+(E15*0.2)</f>
        <v>72.75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37</v>
      </c>
      <c r="F16" s="48"/>
      <c r="G16" s="47">
        <f ca="1">GetValue($C16,  AC1, "J", $V$2)</f>
        <v>65</v>
      </c>
      <c r="H16" s="48"/>
      <c r="I16" s="50">
        <f ca="1">GetValue($C16,  AE1, "J", $V$2)</f>
        <v>100</v>
      </c>
      <c r="J16" s="48"/>
      <c r="K16" s="50">
        <f ca="1">GetValue($C16,  AG1, "J", $V$2)</f>
        <v>83</v>
      </c>
      <c r="L16" s="49"/>
      <c r="M16" s="50">
        <f t="shared" ca="1" si="0"/>
        <v>74.45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92</v>
      </c>
      <c r="F17" s="48"/>
      <c r="G17" s="47">
        <f ca="1">GetValue($C17,  AC1, "L", $V$2)</f>
        <v>54</v>
      </c>
      <c r="H17" s="48"/>
      <c r="I17" s="50">
        <f ca="1">GetValue($C17,  AE1, "L", $V$2)</f>
        <v>73</v>
      </c>
      <c r="J17" s="48"/>
      <c r="K17" s="50">
        <f ca="1">GetValue($C17,  AG1, "L", $V$2)</f>
        <v>80</v>
      </c>
      <c r="L17" s="49"/>
      <c r="M17" s="50">
        <f t="shared" ca="1" si="0"/>
        <v>75.45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67</v>
      </c>
      <c r="F18" s="48"/>
      <c r="G18" s="47">
        <f ca="1">GetValue($C18,  AC1, "N", $V$2)</f>
        <v>86</v>
      </c>
      <c r="H18" s="48"/>
      <c r="I18" s="50">
        <f ca="1">GetValue($C18,  AE1, "N", $V$2)</f>
        <v>85</v>
      </c>
      <c r="J18" s="48"/>
      <c r="K18" s="50">
        <f ca="1">GetValue($C18,  AG1, "N", $V$2)</f>
        <v>73</v>
      </c>
      <c r="L18" s="49"/>
      <c r="M18" s="50">
        <f t="shared" ca="1" si="0"/>
        <v>77.400000000000006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39</v>
      </c>
      <c r="F19" s="48"/>
      <c r="G19" s="47">
        <f ca="1">GetValue($C19,  AC1, "P", $V$2)</f>
        <v>44</v>
      </c>
      <c r="H19" s="48"/>
      <c r="I19" s="47">
        <v>87</v>
      </c>
      <c r="J19" s="48"/>
      <c r="K19" s="47">
        <v>80</v>
      </c>
      <c r="L19" s="49"/>
      <c r="M19" s="50">
        <f t="shared" ca="1" si="0"/>
        <v>66.349999999999994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81</v>
      </c>
      <c r="F20" s="48"/>
      <c r="G20" s="47">
        <f ca="1">GetValue($C20,  AC1, "R", $V$2)</f>
        <v>82</v>
      </c>
      <c r="H20" s="48"/>
      <c r="I20" s="47">
        <v>87</v>
      </c>
      <c r="J20" s="48"/>
      <c r="K20" s="47">
        <v>80</v>
      </c>
      <c r="L20" s="49"/>
      <c r="M20" s="50">
        <f t="shared" ca="1" si="0"/>
        <v>82.350000000000009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85</v>
      </c>
      <c r="F21" s="48"/>
      <c r="G21" s="47">
        <f ca="1">GetValue($C21,  AC1, "T", $V$2)</f>
        <v>75</v>
      </c>
      <c r="H21" s="48"/>
      <c r="I21" s="50">
        <f ca="1">GetValue($C21,  AE1, "T", $V$2)</f>
        <v>88</v>
      </c>
      <c r="J21" s="48"/>
      <c r="K21" s="50">
        <f ca="1">GetValue($C21,  AG1, "T", $V$2)</f>
        <v>82</v>
      </c>
      <c r="L21" s="49"/>
      <c r="M21" s="50">
        <f t="shared" ca="1" si="0"/>
        <v>82.7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80</v>
      </c>
      <c r="F22" s="48"/>
      <c r="G22" s="47">
        <f ca="1">GetValue($C22,  AC1, "V", $V$2)</f>
        <v>90</v>
      </c>
      <c r="H22" s="48"/>
      <c r="I22" s="47">
        <v>87</v>
      </c>
      <c r="J22" s="48"/>
      <c r="K22" s="47">
        <v>80</v>
      </c>
      <c r="L22" s="49"/>
      <c r="M22" s="50">
        <f t="shared" ca="1" si="0"/>
        <v>83.75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84</v>
      </c>
      <c r="F23" s="48"/>
      <c r="G23" s="47">
        <f ca="1">GetValue($C23,  AC1, "X", $V$2)</f>
        <v>40</v>
      </c>
      <c r="H23" s="48"/>
      <c r="I23" s="47">
        <v>87</v>
      </c>
      <c r="J23" s="48"/>
      <c r="K23" s="47">
        <v>80</v>
      </c>
      <c r="L23" s="49"/>
      <c r="M23" s="50">
        <f t="shared" ca="1" si="0"/>
        <v>74.55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75</v>
      </c>
      <c r="F24" s="47" t="e">
        <f t="shared" ref="F24:J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v>87</v>
      </c>
      <c r="J24" s="47" t="e">
        <f t="shared" ca="1" si="2"/>
        <v>#VALUE!</v>
      </c>
      <c r="K24" s="47">
        <v>80</v>
      </c>
      <c r="L24" s="30"/>
      <c r="M24" s="50">
        <f t="shared" ca="1" si="0"/>
        <v>82.75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73.272727272727266</v>
      </c>
      <c r="F26" s="47" t="e">
        <f t="shared" ref="F26:M26" ca="1" si="4">AVERAGE(F14:F24)</f>
        <v>#VALUE!</v>
      </c>
      <c r="G26" s="47">
        <f t="shared" ca="1" si="4"/>
        <v>62.727272727272727</v>
      </c>
      <c r="H26" s="47" t="e">
        <f t="shared" ca="1" si="4"/>
        <v>#VALUE!</v>
      </c>
      <c r="I26" s="47">
        <f t="shared" ca="1" si="4"/>
        <v>86.772727272727266</v>
      </c>
      <c r="J26" s="47" t="e">
        <f t="shared" ca="1" si="4"/>
        <v>#VALUE!</v>
      </c>
      <c r="K26" s="47">
        <f t="shared" ca="1" si="4"/>
        <v>79.818181818181813</v>
      </c>
      <c r="L26" s="47" t="e">
        <f t="shared" si="4"/>
        <v>#DIV/0!</v>
      </c>
      <c r="M26" s="47">
        <f t="shared" ca="1" si="4"/>
        <v>76.829545454545453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A5D3A-291A-4D50-AAB7-FC39822359DC}">
  <sheetPr codeName="Sheet15"/>
  <dimension ref="B1:AG32"/>
  <sheetViews>
    <sheetView showGridLines="0" topLeftCell="A7" zoomScale="110" zoomScaleNormal="100" workbookViewId="0">
      <selection activeCell="K23" sqref="K23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50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11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Lopez Mazate, Angel Mauricio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75</v>
      </c>
      <c r="F14" s="48"/>
      <c r="G14" s="47">
        <f ca="1">GetValue($C14,  AC1, "F", $V$2)</f>
        <v>33</v>
      </c>
      <c r="H14" s="48"/>
      <c r="I14" s="47">
        <f ca="1">(I16+I17+I18+I21)/4</f>
        <v>70.75</v>
      </c>
      <c r="J14" s="48"/>
      <c r="K14" s="47">
        <v>80</v>
      </c>
      <c r="L14" s="49"/>
      <c r="M14" s="50">
        <f ca="1">(K14*0.35)+(I14*0.25)+(G14*0.2)+(E14*0.2)</f>
        <v>67.287499999999994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75</v>
      </c>
      <c r="F15" s="48"/>
      <c r="G15" s="47">
        <f ca="1">GetValue($C15,  AC1, "H", $V$2)</f>
        <v>33</v>
      </c>
      <c r="H15" s="48"/>
      <c r="I15" s="47">
        <v>69</v>
      </c>
      <c r="J15" s="48"/>
      <c r="K15" s="47">
        <v>80</v>
      </c>
      <c r="L15" s="49"/>
      <c r="M15" s="50">
        <f t="shared" ref="M15:M24" ca="1" si="0">(K15*0.35)+(I15*0.25)+(G15*0.2)+(E15*0.2)</f>
        <v>66.849999999999994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55</v>
      </c>
      <c r="F16" s="48"/>
      <c r="G16" s="47">
        <f ca="1">GetValue($C16,  AC1, "J", $V$2)</f>
        <v>56.5</v>
      </c>
      <c r="H16" s="48"/>
      <c r="I16" s="50">
        <f ca="1">GetValue($C16,  AE1, "J", $V$2)</f>
        <v>46</v>
      </c>
      <c r="J16" s="48"/>
      <c r="K16" s="50">
        <f ca="1">GetValue($C16,  AG1, "J", $V$2)</f>
        <v>83</v>
      </c>
      <c r="L16" s="49"/>
      <c r="M16" s="50">
        <f t="shared" ca="1" si="0"/>
        <v>62.849999999999994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75</v>
      </c>
      <c r="F17" s="48"/>
      <c r="G17" s="47">
        <f ca="1">GetValue($C17,  AC1, "L", $V$2)</f>
        <v>72</v>
      </c>
      <c r="H17" s="48"/>
      <c r="I17" s="50">
        <f ca="1">GetValue($C17,  AE1, "L", $V$2)</f>
        <v>83</v>
      </c>
      <c r="J17" s="48"/>
      <c r="K17" s="50">
        <f ca="1">GetValue($C17,  AG1, "L", $V$2)</f>
        <v>70</v>
      </c>
      <c r="L17" s="49"/>
      <c r="M17" s="50">
        <f t="shared" ca="1" si="0"/>
        <v>74.650000000000006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41</v>
      </c>
      <c r="F18" s="48"/>
      <c r="G18" s="47">
        <f ca="1">GetValue($C18,  AC1, "N", $V$2)</f>
        <v>76</v>
      </c>
      <c r="H18" s="48"/>
      <c r="I18" s="50">
        <f ca="1">GetValue($C18,  AE1, "N", $V$2)</f>
        <v>64</v>
      </c>
      <c r="J18" s="48"/>
      <c r="K18" s="50">
        <f ca="1">GetValue($C18,  AG1, "N", $V$2)</f>
        <v>88</v>
      </c>
      <c r="L18" s="49"/>
      <c r="M18" s="50">
        <f t="shared" ca="1" si="0"/>
        <v>70.2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88</v>
      </c>
      <c r="F19" s="48"/>
      <c r="G19" s="47">
        <f ca="1">GetValue($C19,  AC1, "P", $V$2)</f>
        <v>58</v>
      </c>
      <c r="H19" s="48"/>
      <c r="I19" s="47">
        <v>69</v>
      </c>
      <c r="J19" s="48"/>
      <c r="K19" s="47">
        <v>80</v>
      </c>
      <c r="L19" s="49"/>
      <c r="M19" s="50">
        <f t="shared" ca="1" si="0"/>
        <v>74.45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64</v>
      </c>
      <c r="F20" s="48"/>
      <c r="G20" s="47">
        <f ca="1">GetValue($C20,  AC1, "R", $V$2)</f>
        <v>61</v>
      </c>
      <c r="H20" s="48"/>
      <c r="I20" s="47">
        <v>69</v>
      </c>
      <c r="J20" s="48"/>
      <c r="K20" s="47">
        <v>80</v>
      </c>
      <c r="L20" s="49"/>
      <c r="M20" s="50">
        <f t="shared" ca="1" si="0"/>
        <v>70.25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74</v>
      </c>
      <c r="F21" s="48"/>
      <c r="G21" s="47">
        <f ca="1">GetValue($C21,  AC1, "T", $V$2)</f>
        <v>60</v>
      </c>
      <c r="H21" s="48"/>
      <c r="I21" s="50">
        <f ca="1">GetValue($C21,  AE1, "T", $V$2)</f>
        <v>90</v>
      </c>
      <c r="J21" s="48"/>
      <c r="K21" s="50">
        <f ca="1">GetValue($C21,  AG1, "T", $V$2)</f>
        <v>80</v>
      </c>
      <c r="L21" s="49"/>
      <c r="M21" s="50">
        <f t="shared" ca="1" si="0"/>
        <v>77.3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85</v>
      </c>
      <c r="F22" s="48"/>
      <c r="G22" s="47">
        <f ca="1">GetValue($C22,  AC1, "V", $V$2)</f>
        <v>90</v>
      </c>
      <c r="H22" s="48"/>
      <c r="I22" s="47">
        <v>69</v>
      </c>
      <c r="J22" s="48"/>
      <c r="K22" s="47">
        <v>65</v>
      </c>
      <c r="L22" s="49"/>
      <c r="M22" s="50">
        <f t="shared" ca="1" si="0"/>
        <v>75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65</v>
      </c>
      <c r="F23" s="48"/>
      <c r="G23" s="47">
        <f ca="1">GetValue($C23,  AC1, "X", $V$2)</f>
        <v>40</v>
      </c>
      <c r="H23" s="48"/>
      <c r="I23" s="47">
        <v>69</v>
      </c>
      <c r="J23" s="48"/>
      <c r="K23" s="47">
        <v>80</v>
      </c>
      <c r="L23" s="49"/>
      <c r="M23" s="50">
        <f t="shared" ca="1" si="0"/>
        <v>66.25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60</v>
      </c>
      <c r="F24" s="47" t="e">
        <f t="shared" ref="F24:J24" ca="1" si="2">GetValue($C24,  AB1, "z", $V$2)</f>
        <v>#VALUE!</v>
      </c>
      <c r="G24" s="47">
        <f t="shared" ca="1" si="2"/>
        <v>87</v>
      </c>
      <c r="H24" s="47" t="e">
        <f t="shared" ca="1" si="2"/>
        <v>#VALUE!</v>
      </c>
      <c r="I24" s="47">
        <v>69</v>
      </c>
      <c r="J24" s="47" t="e">
        <f t="shared" ca="1" si="2"/>
        <v>#VALUE!</v>
      </c>
      <c r="K24" s="47">
        <v>80</v>
      </c>
      <c r="L24" s="30"/>
      <c r="M24" s="50">
        <f t="shared" ca="1" si="0"/>
        <v>74.650000000000006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68.818181818181813</v>
      </c>
      <c r="F26" s="47" t="e">
        <f t="shared" ref="F26:M26" ca="1" si="4">AVERAGE(F14:F24)</f>
        <v>#VALUE!</v>
      </c>
      <c r="G26" s="47">
        <f t="shared" ca="1" si="4"/>
        <v>60.590909090909093</v>
      </c>
      <c r="H26" s="47" t="e">
        <f t="shared" ca="1" si="4"/>
        <v>#VALUE!</v>
      </c>
      <c r="I26" s="47">
        <f t="shared" ca="1" si="4"/>
        <v>69.795454545454547</v>
      </c>
      <c r="J26" s="47" t="e">
        <f t="shared" ca="1" si="4"/>
        <v>#VALUE!</v>
      </c>
      <c r="K26" s="47">
        <f t="shared" ca="1" si="4"/>
        <v>78.727272727272734</v>
      </c>
      <c r="L26" s="47" t="e">
        <f t="shared" si="4"/>
        <v>#DIV/0!</v>
      </c>
      <c r="M26" s="47">
        <f t="shared" ca="1" si="4"/>
        <v>70.885227272727263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ADBEC-91FB-4968-99BC-BD05F15C1EEB}">
  <sheetPr codeName="Sheet16"/>
  <dimension ref="B1:AG32"/>
  <sheetViews>
    <sheetView showGridLines="0" topLeftCell="A7" zoomScale="110" zoomScaleNormal="100" workbookViewId="0">
      <selection activeCell="T28" sqref="T28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51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12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López Yol, Diego Josué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87</v>
      </c>
      <c r="F14" s="48"/>
      <c r="G14" s="47">
        <f ca="1">GetValue($C14,  AC1, "F", $V$2)</f>
        <v>65</v>
      </c>
      <c r="H14" s="48"/>
      <c r="I14" s="47">
        <f ca="1">GetValue($C14,  AE1, "F", $V$2)</f>
        <v>91</v>
      </c>
      <c r="J14" s="48"/>
      <c r="K14" s="47">
        <f ca="1">GetValue($C14,  AG1, "F", $V$2)</f>
        <v>85</v>
      </c>
      <c r="L14" s="49"/>
      <c r="M14" s="50">
        <f ca="1">(K14*0.35)+(I14*0.25)+(G14*0.2)+(E14*0.2)</f>
        <v>82.9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87</v>
      </c>
      <c r="F15" s="48"/>
      <c r="G15" s="47">
        <f ca="1">GetValue($C15,  AC1, "H", $V$2)</f>
        <v>65</v>
      </c>
      <c r="H15" s="48"/>
      <c r="I15" s="47">
        <f ca="1">GetValue($C15,  AE1, "H", $V$2)</f>
        <v>91</v>
      </c>
      <c r="J15" s="48"/>
      <c r="K15" s="47">
        <f ca="1">GetValue($C15,  AG1, "H", $V$2)</f>
        <v>68</v>
      </c>
      <c r="L15" s="49"/>
      <c r="M15" s="50">
        <f t="shared" ref="M15:M24" ca="1" si="0">(K15*0.35)+(I15*0.25)+(G15*0.2)+(E15*0.2)</f>
        <v>76.95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60</v>
      </c>
      <c r="F16" s="48"/>
      <c r="G16" s="47">
        <f ca="1">GetValue($C16,  AC1, "J", $V$2)</f>
        <v>64.5</v>
      </c>
      <c r="H16" s="48"/>
      <c r="I16" s="47">
        <f ca="1">GetValue($C16,  AE1, "J", $V$2)</f>
        <v>81</v>
      </c>
      <c r="J16" s="48"/>
      <c r="K16" s="47">
        <f ca="1">GetValue($C16,  AG1, "J", $V$2)</f>
        <v>89</v>
      </c>
      <c r="L16" s="49"/>
      <c r="M16" s="50">
        <f t="shared" ca="1" si="0"/>
        <v>76.3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78</v>
      </c>
      <c r="F17" s="48"/>
      <c r="G17" s="47">
        <f ca="1">GetValue($C17,  AC1, "L", $V$2)</f>
        <v>89</v>
      </c>
      <c r="H17" s="48"/>
      <c r="I17" s="47">
        <f ca="1">GetValue($C17,  AE1, "L", $V$2)</f>
        <v>77</v>
      </c>
      <c r="J17" s="48"/>
      <c r="K17" s="47">
        <f ca="1">GetValue($C17,  AG1, "L", $V$2)</f>
        <v>100</v>
      </c>
      <c r="L17" s="49"/>
      <c r="M17" s="50">
        <f t="shared" ca="1" si="0"/>
        <v>87.65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53</v>
      </c>
      <c r="F18" s="48"/>
      <c r="G18" s="47">
        <f ca="1">GetValue($C18,  AC1, "N", $V$2)</f>
        <v>89</v>
      </c>
      <c r="H18" s="48"/>
      <c r="I18" s="47">
        <f ca="1">GetValue($C18,  AE1, "N", $V$2)</f>
        <v>72</v>
      </c>
      <c r="J18" s="48"/>
      <c r="K18" s="47">
        <f ca="1">GetValue($C18,  AG1, "N", $V$2)</f>
        <v>61</v>
      </c>
      <c r="L18" s="49"/>
      <c r="M18" s="50">
        <f t="shared" ca="1" si="0"/>
        <v>67.75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68</v>
      </c>
      <c r="F19" s="48"/>
      <c r="G19" s="47">
        <f ca="1">GetValue($C19,  AC1, "P", $V$2)</f>
        <v>70</v>
      </c>
      <c r="H19" s="48"/>
      <c r="I19" s="47">
        <f ca="1">GetValue($C19,  AE1, "P", $V$2)</f>
        <v>64</v>
      </c>
      <c r="J19" s="48"/>
      <c r="K19" s="47">
        <f ca="1">GetValue($C19,  AG1, "P", $V$2)</f>
        <v>81</v>
      </c>
      <c r="L19" s="49"/>
      <c r="M19" s="50">
        <f t="shared" ca="1" si="0"/>
        <v>71.949999999999989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62</v>
      </c>
      <c r="F20" s="48"/>
      <c r="G20" s="47">
        <f ca="1">GetValue($C20,  AC1, "R", $V$2)</f>
        <v>87</v>
      </c>
      <c r="H20" s="48"/>
      <c r="I20" s="47">
        <f ca="1">GetValue($C20,  AE1, "R", $V$2)</f>
        <v>78</v>
      </c>
      <c r="J20" s="48"/>
      <c r="K20" s="47">
        <f ca="1">GetValue($C20,  AG1, "R", $V$2)</f>
        <v>82</v>
      </c>
      <c r="L20" s="49"/>
      <c r="M20" s="50">
        <f t="shared" ca="1" si="0"/>
        <v>78.000000000000014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79</v>
      </c>
      <c r="F21" s="48"/>
      <c r="G21" s="47">
        <f ca="1">GetValue($C21,  AC1, "T", $V$2)</f>
        <v>70</v>
      </c>
      <c r="H21" s="48"/>
      <c r="I21" s="47">
        <f ca="1">GetValue($C21,  AE1, "T", $V$2)</f>
        <v>96</v>
      </c>
      <c r="J21" s="48"/>
      <c r="K21" s="47">
        <f ca="1">GetValue($C21,  AG1, "T", $V$2)</f>
        <v>70</v>
      </c>
      <c r="L21" s="49"/>
      <c r="M21" s="50">
        <f t="shared" ca="1" si="0"/>
        <v>78.3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85</v>
      </c>
      <c r="F22" s="48"/>
      <c r="G22" s="47">
        <f ca="1">GetValue($C22,  AC1, "V", $V$2)</f>
        <v>95</v>
      </c>
      <c r="H22" s="48"/>
      <c r="I22" s="47">
        <f ca="1">GetValue($C22,  AE1, "V", $V$2)</f>
        <v>70</v>
      </c>
      <c r="J22" s="48"/>
      <c r="K22" s="47">
        <f ca="1">GetValue($C22,  AG1, "V", $V$2)</f>
        <v>70</v>
      </c>
      <c r="L22" s="49"/>
      <c r="M22" s="50">
        <f t="shared" ca="1" si="0"/>
        <v>78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77</v>
      </c>
      <c r="F23" s="48"/>
      <c r="G23" s="47">
        <f ca="1">GetValue($C23,  AC1, "X", $V$2)</f>
        <v>90</v>
      </c>
      <c r="H23" s="48"/>
      <c r="I23" s="47">
        <f ca="1">GetValue($C23,  AE1, "X", $V$2)</f>
        <v>60</v>
      </c>
      <c r="J23" s="48"/>
      <c r="K23" s="47">
        <f ca="1">GetValue($C23,  AG1, "X", $V$2)</f>
        <v>70</v>
      </c>
      <c r="L23" s="49"/>
      <c r="M23" s="50">
        <f t="shared" ca="1" si="0"/>
        <v>72.900000000000006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90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90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86.5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75.090909090909093</v>
      </c>
      <c r="F26" s="47" t="e">
        <f t="shared" ref="F26:M26" ca="1" si="4">AVERAGE(F14:F24)</f>
        <v>#VALUE!</v>
      </c>
      <c r="G26" s="47">
        <f t="shared" ca="1" si="4"/>
        <v>79.5</v>
      </c>
      <c r="H26" s="47" t="e">
        <f t="shared" ca="1" si="4"/>
        <v>#VALUE!</v>
      </c>
      <c r="I26" s="47">
        <f t="shared" ca="1" si="4"/>
        <v>79.090909090909093</v>
      </c>
      <c r="J26" s="47" t="e">
        <f t="shared" ca="1" si="4"/>
        <v>#VALUE!</v>
      </c>
      <c r="K26" s="47">
        <f t="shared" ca="1" si="4"/>
        <v>77.818181818181813</v>
      </c>
      <c r="L26" s="47" t="e">
        <f t="shared" si="4"/>
        <v>#DIV/0!</v>
      </c>
      <c r="M26" s="47">
        <f t="shared" ca="1" si="4"/>
        <v>77.927272727272737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9F149-D625-45A0-8C80-FB64DBB7A267}">
  <sheetPr codeName="Sheet17"/>
  <dimension ref="B1:AG32"/>
  <sheetViews>
    <sheetView showGridLines="0" topLeftCell="A7" zoomScale="110" zoomScaleNormal="100" workbookViewId="0">
      <selection activeCell="M19" sqref="M19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52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13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Luca Simaj, Maria Fernanda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76</v>
      </c>
      <c r="F14" s="48"/>
      <c r="G14" s="47">
        <f ca="1">GetValue($C14,  AC1, "F", $V$2)</f>
        <v>57</v>
      </c>
      <c r="H14" s="48"/>
      <c r="I14" s="47">
        <f ca="1">GetValue($C14,  AE1, "F", $V$2)</f>
        <v>87</v>
      </c>
      <c r="J14" s="48"/>
      <c r="K14" s="47">
        <f ca="1">GetValue($C14,  AG1, "F", $V$2)</f>
        <v>80</v>
      </c>
      <c r="L14" s="49"/>
      <c r="M14" s="50">
        <f ca="1">(K14*0.35)+(I14*0.25)+(G14*0.2)+(E14*0.2)</f>
        <v>76.349999999999994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76</v>
      </c>
      <c r="F15" s="48"/>
      <c r="G15" s="47">
        <f ca="1">GetValue($C15,  AC1, "H", $V$2)</f>
        <v>57</v>
      </c>
      <c r="H15" s="48"/>
      <c r="I15" s="47">
        <f ca="1">GetValue($C15,  AE1, "H", $V$2)</f>
        <v>87</v>
      </c>
      <c r="J15" s="48"/>
      <c r="K15" s="47">
        <f ca="1">GetValue($C15,  AG1, "H", $V$2)</f>
        <v>72</v>
      </c>
      <c r="L15" s="49"/>
      <c r="M15" s="50">
        <f t="shared" ref="M15:M24" ca="1" si="0">(K15*0.35)+(I15*0.25)+(G15*0.2)+(E15*0.2)</f>
        <v>73.55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74</v>
      </c>
      <c r="F16" s="48"/>
      <c r="G16" s="47">
        <f ca="1">GetValue($C16,  AC1, "J", $V$2)</f>
        <v>81.5</v>
      </c>
      <c r="H16" s="48"/>
      <c r="I16" s="47">
        <f ca="1">GetValue($C16,  AE1, "J", $V$2)</f>
        <v>75</v>
      </c>
      <c r="J16" s="48"/>
      <c r="K16" s="47">
        <f ca="1">GetValue($C16,  AG1, "J", $V$2)</f>
        <v>68</v>
      </c>
      <c r="L16" s="49"/>
      <c r="M16" s="50">
        <f t="shared" ca="1" si="0"/>
        <v>73.649999999999991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81</v>
      </c>
      <c r="F17" s="48"/>
      <c r="G17" s="47">
        <f ca="1">GetValue($C17,  AC1, "L", $V$2)</f>
        <v>74</v>
      </c>
      <c r="H17" s="48"/>
      <c r="I17" s="47">
        <f ca="1">GetValue($C17,  AE1, "L", $V$2)</f>
        <v>77</v>
      </c>
      <c r="J17" s="48"/>
      <c r="K17" s="47">
        <f ca="1">GetValue($C17,  AG1, "L", $V$2)</f>
        <v>70</v>
      </c>
      <c r="L17" s="49"/>
      <c r="M17" s="50">
        <f t="shared" ca="1" si="0"/>
        <v>74.75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67</v>
      </c>
      <c r="F18" s="48"/>
      <c r="G18" s="47">
        <f ca="1">GetValue($C18,  AC1, "N", $V$2)</f>
        <v>93</v>
      </c>
      <c r="H18" s="48"/>
      <c r="I18" s="47">
        <f ca="1">GetValue($C18,  AE1, "N", $V$2)</f>
        <v>91</v>
      </c>
      <c r="J18" s="48"/>
      <c r="K18" s="47">
        <f ca="1">GetValue($C18,  AG1, "N", $V$2)</f>
        <v>85</v>
      </c>
      <c r="L18" s="49"/>
      <c r="M18" s="50">
        <f t="shared" ca="1" si="0"/>
        <v>84.5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82</v>
      </c>
      <c r="F19" s="48"/>
      <c r="G19" s="47">
        <f ca="1">GetValue($C19,  AC1, "P", $V$2)</f>
        <v>99</v>
      </c>
      <c r="H19" s="48"/>
      <c r="I19" s="47">
        <f ca="1">GetValue($C19,  AE1, "P", $V$2)</f>
        <v>84</v>
      </c>
      <c r="J19" s="48"/>
      <c r="K19" s="47">
        <f ca="1">GetValue($C19,  AG1, "P", $V$2)</f>
        <v>87</v>
      </c>
      <c r="L19" s="49"/>
      <c r="M19" s="50">
        <f t="shared" ca="1" si="0"/>
        <v>87.65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65</v>
      </c>
      <c r="F20" s="48"/>
      <c r="G20" s="47">
        <f ca="1">GetValue($C20,  AC1, "R", $V$2)</f>
        <v>71</v>
      </c>
      <c r="H20" s="48"/>
      <c r="I20" s="47">
        <f ca="1">GetValue($C20,  AE1, "R", $V$2)</f>
        <v>85</v>
      </c>
      <c r="J20" s="48"/>
      <c r="K20" s="47">
        <f ca="1">GetValue($C20,  AG1, "R", $V$2)</f>
        <v>94</v>
      </c>
      <c r="L20" s="49"/>
      <c r="M20" s="50">
        <f t="shared" ca="1" si="0"/>
        <v>81.349999999999994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67</v>
      </c>
      <c r="F21" s="48"/>
      <c r="G21" s="47">
        <f ca="1">GetValue($C21,  AC1, "T", $V$2)</f>
        <v>64</v>
      </c>
      <c r="H21" s="48"/>
      <c r="I21" s="47">
        <f ca="1">GetValue($C21,  AE1, "T", $V$2)</f>
        <v>92</v>
      </c>
      <c r="J21" s="48"/>
      <c r="K21" s="47">
        <f ca="1">GetValue($C21,  AG1, "T", $V$2)</f>
        <v>95</v>
      </c>
      <c r="L21" s="49"/>
      <c r="M21" s="50">
        <f t="shared" ca="1" si="0"/>
        <v>82.45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90</v>
      </c>
      <c r="F22" s="48"/>
      <c r="G22" s="47">
        <f ca="1">GetValue($C22,  AC1, "V", $V$2)</f>
        <v>100</v>
      </c>
      <c r="H22" s="48"/>
      <c r="I22" s="47">
        <f ca="1">GetValue($C22,  AE1, "V", $V$2)</f>
        <v>70</v>
      </c>
      <c r="J22" s="48"/>
      <c r="K22" s="47">
        <f ca="1">GetValue($C22,  AG1, "V", $V$2)</f>
        <v>70</v>
      </c>
      <c r="L22" s="49"/>
      <c r="M22" s="50">
        <f t="shared" ca="1" si="0"/>
        <v>80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81</v>
      </c>
      <c r="F23" s="48"/>
      <c r="G23" s="47">
        <f ca="1">GetValue($C23,  AC1, "X", $V$2)</f>
        <v>80</v>
      </c>
      <c r="H23" s="48"/>
      <c r="I23" s="47">
        <f ca="1">GetValue($C23,  AE1, "X", $V$2)</f>
        <v>97</v>
      </c>
      <c r="J23" s="48"/>
      <c r="K23" s="47">
        <f ca="1">GetValue($C23,  AG1, "X", $V$2)</f>
        <v>90</v>
      </c>
      <c r="L23" s="49"/>
      <c r="M23" s="50">
        <f t="shared" ca="1" si="0"/>
        <v>87.95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75</v>
      </c>
      <c r="F24" s="47" t="e">
        <f t="shared" ref="F24:K24" ca="1" si="2">GetValue($C24,  AB1, "z", $V$2)</f>
        <v>#VALUE!</v>
      </c>
      <c r="G24" s="47">
        <f t="shared" ca="1" si="2"/>
        <v>80</v>
      </c>
      <c r="H24" s="47" t="e">
        <f t="shared" ca="1" si="2"/>
        <v>#VALUE!</v>
      </c>
      <c r="I24" s="47">
        <f t="shared" ca="1" si="2"/>
        <v>70</v>
      </c>
      <c r="J24" s="47" t="e">
        <f t="shared" ca="1" si="2"/>
        <v>#VALUE!</v>
      </c>
      <c r="K24" s="47">
        <f t="shared" ca="1" si="2"/>
        <v>70</v>
      </c>
      <c r="L24" s="30"/>
      <c r="M24" s="50">
        <f t="shared" ca="1" si="0"/>
        <v>73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75.818181818181813</v>
      </c>
      <c r="F26" s="47" t="e">
        <f t="shared" ref="F26:M26" ca="1" si="4">AVERAGE(F14:F24)</f>
        <v>#VALUE!</v>
      </c>
      <c r="G26" s="47">
        <f t="shared" ca="1" si="4"/>
        <v>77.86363636363636</v>
      </c>
      <c r="H26" s="47" t="e">
        <f t="shared" ca="1" si="4"/>
        <v>#VALUE!</v>
      </c>
      <c r="I26" s="47">
        <f t="shared" ca="1" si="4"/>
        <v>83.181818181818187</v>
      </c>
      <c r="J26" s="47" t="e">
        <f t="shared" ca="1" si="4"/>
        <v>#VALUE!</v>
      </c>
      <c r="K26" s="47">
        <f t="shared" ca="1" si="4"/>
        <v>80.090909090909093</v>
      </c>
      <c r="L26" s="47" t="e">
        <f t="shared" si="4"/>
        <v>#DIV/0!</v>
      </c>
      <c r="M26" s="47">
        <f t="shared" ca="1" si="4"/>
        <v>79.563636363636363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01579-FD0B-4B68-918B-1D3ED03FB827}">
  <sheetPr codeName="Sheet18"/>
  <dimension ref="B1:AG32"/>
  <sheetViews>
    <sheetView showGridLines="0" topLeftCell="A4" zoomScale="110" zoomScaleNormal="100" workbookViewId="0">
      <selection activeCell="Q20" sqref="Q20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53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14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Marroquín Carcúz, Deyuli Mayerli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96</v>
      </c>
      <c r="F14" s="48"/>
      <c r="G14" s="47">
        <f ca="1">(G16+G17+G18+G21)/4</f>
        <v>88.75</v>
      </c>
      <c r="H14" s="48"/>
      <c r="I14" s="47">
        <f ca="1">(I16+I17+I18+I21)/4</f>
        <v>95</v>
      </c>
      <c r="J14" s="48"/>
      <c r="K14" s="47">
        <v>96</v>
      </c>
      <c r="L14" s="49"/>
      <c r="M14" s="50">
        <f ca="1">(K14*0.35)+(I14*0.25)+(G14*0.2)+(E14*0.2)</f>
        <v>94.3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96</v>
      </c>
      <c r="F15" s="48"/>
      <c r="G15" s="47">
        <v>89</v>
      </c>
      <c r="H15" s="48"/>
      <c r="I15" s="47">
        <v>95</v>
      </c>
      <c r="J15" s="48"/>
      <c r="K15" s="47">
        <v>96</v>
      </c>
      <c r="L15" s="49"/>
      <c r="M15" s="50">
        <f t="shared" ref="M15:M24" ca="1" si="0">(K15*0.35)+(I15*0.25)+(G15*0.2)+(E15*0.2)</f>
        <v>94.35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100</v>
      </c>
      <c r="F16" s="48"/>
      <c r="G16" s="50">
        <f ca="1">GetValue($C16,  AC1, "J", $V$2)</f>
        <v>85</v>
      </c>
      <c r="H16" s="48"/>
      <c r="I16" s="50">
        <v>92</v>
      </c>
      <c r="J16" s="48"/>
      <c r="K16" s="50">
        <f ca="1">GetValue($C16,  AG1, "J", $V$2)</f>
        <v>97</v>
      </c>
      <c r="L16" s="49"/>
      <c r="M16" s="50">
        <f t="shared" ca="1" si="0"/>
        <v>93.949999999999989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85</v>
      </c>
      <c r="F17" s="48"/>
      <c r="G17" s="50">
        <f ca="1">GetValue($C17,  AC1, "L", $V$2)</f>
        <v>82</v>
      </c>
      <c r="H17" s="94"/>
      <c r="I17" s="50">
        <f ca="1">GetValue($C17,  AE1, "L", $V$2)</f>
        <v>100</v>
      </c>
      <c r="J17" s="48"/>
      <c r="K17" s="50">
        <f ca="1">GetValue($C17,  AG1, "L", $V$2)</f>
        <v>87</v>
      </c>
      <c r="L17" s="49"/>
      <c r="M17" s="50">
        <f t="shared" ca="1" si="0"/>
        <v>88.850000000000009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85</v>
      </c>
      <c r="F18" s="48"/>
      <c r="G18" s="50">
        <f ca="1">GetValue($C18,  AC1, "N", $V$2)</f>
        <v>88</v>
      </c>
      <c r="H18" s="94"/>
      <c r="I18" s="50">
        <f ca="1">GetValue($C18,  AE1, "N", $V$2)</f>
        <v>88</v>
      </c>
      <c r="J18" s="48"/>
      <c r="K18" s="50">
        <f ca="1">GetValue($C18,  AG1, "N", $V$2)</f>
        <v>100</v>
      </c>
      <c r="L18" s="49"/>
      <c r="M18" s="50">
        <f t="shared" ca="1" si="0"/>
        <v>91.6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100</v>
      </c>
      <c r="F19" s="48"/>
      <c r="G19" s="47">
        <v>89</v>
      </c>
      <c r="H19" s="48"/>
      <c r="I19" s="47">
        <v>95</v>
      </c>
      <c r="J19" s="48"/>
      <c r="K19" s="47">
        <v>96</v>
      </c>
      <c r="L19" s="49"/>
      <c r="M19" s="50">
        <f t="shared" ca="1" si="0"/>
        <v>95.149999999999991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88</v>
      </c>
      <c r="F20" s="48"/>
      <c r="G20" s="47">
        <v>89</v>
      </c>
      <c r="H20" s="48"/>
      <c r="I20" s="47">
        <v>95</v>
      </c>
      <c r="J20" s="48"/>
      <c r="K20" s="47">
        <v>96</v>
      </c>
      <c r="L20" s="49"/>
      <c r="M20" s="50">
        <f t="shared" ca="1" si="0"/>
        <v>92.75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93</v>
      </c>
      <c r="F21" s="48"/>
      <c r="G21" s="50">
        <f ca="1">GetValue($C21,  AC1, "T", $V$2)</f>
        <v>100</v>
      </c>
      <c r="H21" s="94"/>
      <c r="I21" s="50">
        <f ca="1">GetValue($C21,  AE1, "T", $V$2)</f>
        <v>100</v>
      </c>
      <c r="J21" s="48"/>
      <c r="K21" s="50">
        <f ca="1">GetValue($C21,  AG1, "T", $V$2)</f>
        <v>100</v>
      </c>
      <c r="L21" s="49"/>
      <c r="M21" s="50">
        <f t="shared" ca="1" si="0"/>
        <v>98.6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95</v>
      </c>
      <c r="F22" s="48"/>
      <c r="G22" s="47">
        <v>89</v>
      </c>
      <c r="H22" s="48"/>
      <c r="I22" s="47">
        <v>95</v>
      </c>
      <c r="J22" s="48"/>
      <c r="K22" s="47">
        <v>96</v>
      </c>
      <c r="L22" s="49"/>
      <c r="M22" s="50">
        <f t="shared" ca="1" si="0"/>
        <v>94.149999999999991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98</v>
      </c>
      <c r="F23" s="48"/>
      <c r="G23" s="47">
        <v>89</v>
      </c>
      <c r="H23" s="48"/>
      <c r="I23" s="47">
        <v>95</v>
      </c>
      <c r="J23" s="48"/>
      <c r="K23" s="47">
        <v>96</v>
      </c>
      <c r="L23" s="49"/>
      <c r="M23" s="50">
        <f t="shared" ca="1" si="0"/>
        <v>94.75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90</v>
      </c>
      <c r="F24" s="47" t="e">
        <f t="shared" ref="F24:J24" ca="1" si="2">GetValue($C24,  AB1, "z", $V$2)</f>
        <v>#VALUE!</v>
      </c>
      <c r="G24" s="47">
        <v>89</v>
      </c>
      <c r="H24" s="47" t="e">
        <f t="shared" ca="1" si="2"/>
        <v>#VALUE!</v>
      </c>
      <c r="I24" s="47">
        <v>95</v>
      </c>
      <c r="J24" s="47" t="e">
        <f t="shared" ca="1" si="2"/>
        <v>#VALUE!</v>
      </c>
      <c r="K24" s="47">
        <v>96</v>
      </c>
      <c r="L24" s="30"/>
      <c r="M24" s="50">
        <f t="shared" ca="1" si="0"/>
        <v>93.149999999999991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93.272727272727266</v>
      </c>
      <c r="F26" s="47" t="e">
        <f t="shared" ref="F26:M26" ca="1" si="4">AVERAGE(F14:F24)</f>
        <v>#VALUE!</v>
      </c>
      <c r="G26" s="47">
        <f t="shared" ca="1" si="4"/>
        <v>88.88636363636364</v>
      </c>
      <c r="H26" s="47" t="e">
        <f t="shared" ca="1" si="4"/>
        <v>#VALUE!</v>
      </c>
      <c r="I26" s="47">
        <f t="shared" ca="1" si="4"/>
        <v>95</v>
      </c>
      <c r="J26" s="47" t="e">
        <f t="shared" ca="1" si="4"/>
        <v>#VALUE!</v>
      </c>
      <c r="K26" s="47">
        <f t="shared" ca="1" si="4"/>
        <v>96</v>
      </c>
      <c r="L26" s="47" t="e">
        <f t="shared" si="4"/>
        <v>#DIV/0!</v>
      </c>
      <c r="M26" s="47">
        <f t="shared" ca="1" si="4"/>
        <v>93.781818181818167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AF8C-6628-44E3-BC43-D5172842892A}">
  <sheetPr codeName="Sheet19"/>
  <dimension ref="B1:AG32"/>
  <sheetViews>
    <sheetView showGridLines="0" topLeftCell="A4" zoomScale="110" zoomScaleNormal="100" workbookViewId="0">
      <selection activeCell="I19" sqref="I19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54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15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Marroquín Larios, Yasmín Monserrat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77</v>
      </c>
      <c r="F14" s="48"/>
      <c r="G14" s="47">
        <f ca="1">GetValue($C14,  AC1, "F", $V$2)</f>
        <v>47</v>
      </c>
      <c r="H14" s="48"/>
      <c r="I14" s="47">
        <f ca="1">GetValue($C14,  AE1, "F", $V$2)</f>
        <v>82</v>
      </c>
      <c r="J14" s="48"/>
      <c r="K14" s="47">
        <f ca="1">GetValue($C14,  AG1, "F", $V$2)</f>
        <v>85</v>
      </c>
      <c r="L14" s="49"/>
      <c r="M14" s="50">
        <f ca="1">(K14*0.35)+(I14*0.25)+(G14*0.2)+(E14*0.2)</f>
        <v>75.05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77</v>
      </c>
      <c r="F15" s="48"/>
      <c r="G15" s="47">
        <f ca="1">GetValue($C15,  AC1, "H", $V$2)</f>
        <v>47</v>
      </c>
      <c r="H15" s="48"/>
      <c r="I15" s="47">
        <f ca="1">GetValue($C15,  AE1, "H", $V$2)</f>
        <v>82</v>
      </c>
      <c r="J15" s="48"/>
      <c r="K15" s="47">
        <f ca="1">GetValue($C15,  AG1, "H", $V$2)</f>
        <v>77</v>
      </c>
      <c r="L15" s="49"/>
      <c r="M15" s="50">
        <f t="shared" ref="M15:M24" ca="1" si="0">(K15*0.35)+(I15*0.25)+(G15*0.2)+(E15*0.2)</f>
        <v>72.25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84</v>
      </c>
      <c r="F16" s="48"/>
      <c r="G16" s="47">
        <f ca="1">GetValue($C16,  AC1, "J", $V$2)</f>
        <v>62.5</v>
      </c>
      <c r="H16" s="48"/>
      <c r="I16" s="47">
        <f ca="1">GetValue($C16,  AE1, "J", $V$2)</f>
        <v>71</v>
      </c>
      <c r="J16" s="48"/>
      <c r="K16" s="47">
        <f ca="1">GetValue($C16,  AG1, "J", $V$2)</f>
        <v>74</v>
      </c>
      <c r="L16" s="49"/>
      <c r="M16" s="50">
        <f t="shared" ca="1" si="0"/>
        <v>72.95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76</v>
      </c>
      <c r="F17" s="48"/>
      <c r="G17" s="47">
        <f ca="1">GetValue($C17,  AC1, "L", $V$2)</f>
        <v>80</v>
      </c>
      <c r="H17" s="48"/>
      <c r="I17" s="47">
        <f ca="1">GetValue($C17,  AE1, "L", $V$2)</f>
        <v>70</v>
      </c>
      <c r="J17" s="48"/>
      <c r="K17" s="47">
        <f ca="1">GetValue($C17,  AG1, "L", $V$2)</f>
        <v>91</v>
      </c>
      <c r="L17" s="49"/>
      <c r="M17" s="50">
        <f t="shared" ca="1" si="0"/>
        <v>80.55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61</v>
      </c>
      <c r="F18" s="48"/>
      <c r="G18" s="47">
        <f ca="1">GetValue($C18,  AC1, "N", $V$2)</f>
        <v>82</v>
      </c>
      <c r="H18" s="48"/>
      <c r="I18" s="47">
        <f ca="1">GetValue($C18,  AE1, "N", $V$2)</f>
        <v>61</v>
      </c>
      <c r="J18" s="48"/>
      <c r="K18" s="47">
        <f ca="1">GetValue($C18,  AG1, "N", $V$2)</f>
        <v>76</v>
      </c>
      <c r="L18" s="49"/>
      <c r="M18" s="50">
        <f t="shared" ca="1" si="0"/>
        <v>70.45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63</v>
      </c>
      <c r="F19" s="48"/>
      <c r="G19" s="47">
        <f ca="1">GetValue($C19,  AC1, "P", $V$2)</f>
        <v>89</v>
      </c>
      <c r="H19" s="48"/>
      <c r="I19" s="47">
        <f ca="1">GetValue($C19,  AE1, "P", $V$2)</f>
        <v>48</v>
      </c>
      <c r="J19" s="48"/>
      <c r="K19" s="47">
        <f ca="1">GetValue($C19,  AG1, "P", $V$2)</f>
        <v>72</v>
      </c>
      <c r="L19" s="49"/>
      <c r="M19" s="50">
        <f t="shared" ca="1" si="0"/>
        <v>67.599999999999994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72</v>
      </c>
      <c r="F20" s="48"/>
      <c r="G20" s="47">
        <f ca="1">GetValue($C20,  AC1, "R", $V$2)</f>
        <v>90</v>
      </c>
      <c r="H20" s="48"/>
      <c r="I20" s="47">
        <f ca="1">GetValue($C20,  AE1, "R", $V$2)</f>
        <v>100</v>
      </c>
      <c r="J20" s="48"/>
      <c r="K20" s="47">
        <f ca="1">GetValue($C20,  AG1, "R", $V$2)</f>
        <v>98</v>
      </c>
      <c r="L20" s="49"/>
      <c r="M20" s="50">
        <f t="shared" ca="1" si="0"/>
        <v>91.7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81</v>
      </c>
      <c r="F21" s="48"/>
      <c r="G21" s="47">
        <f ca="1">GetValue($C21,  AC1, "T", $V$2)</f>
        <v>65</v>
      </c>
      <c r="H21" s="48"/>
      <c r="I21" s="47">
        <f ca="1">GetValue($C21,  AE1, "T", $V$2)</f>
        <v>100</v>
      </c>
      <c r="J21" s="48"/>
      <c r="K21" s="47">
        <f ca="1">GetValue($C21,  AG1, "T", $V$2)</f>
        <v>100</v>
      </c>
      <c r="L21" s="49"/>
      <c r="M21" s="50">
        <f t="shared" ca="1" si="0"/>
        <v>89.2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90</v>
      </c>
      <c r="F22" s="48"/>
      <c r="G22" s="47">
        <f ca="1">GetValue($C22,  AC1, "V", $V$2)</f>
        <v>90</v>
      </c>
      <c r="H22" s="48"/>
      <c r="I22" s="47">
        <f ca="1">GetValue($C22,  AE1, "V", $V$2)</f>
        <v>85</v>
      </c>
      <c r="J22" s="48"/>
      <c r="K22" s="47">
        <f ca="1">GetValue($C22,  AG1, "V", $V$2)</f>
        <v>85</v>
      </c>
      <c r="L22" s="49"/>
      <c r="M22" s="50">
        <f t="shared" ca="1" si="0"/>
        <v>87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86</v>
      </c>
      <c r="F23" s="48"/>
      <c r="G23" s="47">
        <f ca="1">GetValue($C23,  AC1, "X", $V$2)</f>
        <v>0</v>
      </c>
      <c r="H23" s="48"/>
      <c r="I23" s="47">
        <f ca="1">GetValue($C23,  AE1, "X", $V$2)</f>
        <v>90</v>
      </c>
      <c r="J23" s="48"/>
      <c r="K23" s="47">
        <f ca="1">GetValue($C23,  AG1, "X", $V$2)</f>
        <v>75</v>
      </c>
      <c r="L23" s="49"/>
      <c r="M23" s="50">
        <f t="shared" ca="1" si="0"/>
        <v>65.95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90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85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85.25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77.909090909090907</v>
      </c>
      <c r="F26" s="47" t="e">
        <f t="shared" ref="F26:M26" ca="1" si="4">AVERAGE(F14:F24)</f>
        <v>#VALUE!</v>
      </c>
      <c r="G26" s="47">
        <f t="shared" ca="1" si="4"/>
        <v>67.5</v>
      </c>
      <c r="H26" s="47" t="e">
        <f t="shared" ca="1" si="4"/>
        <v>#VALUE!</v>
      </c>
      <c r="I26" s="47">
        <f t="shared" ca="1" si="4"/>
        <v>79.454545454545453</v>
      </c>
      <c r="J26" s="47" t="e">
        <f t="shared" ca="1" si="4"/>
        <v>#VALUE!</v>
      </c>
      <c r="K26" s="47">
        <f t="shared" ca="1" si="4"/>
        <v>83</v>
      </c>
      <c r="L26" s="47" t="e">
        <f t="shared" si="4"/>
        <v>#DIV/0!</v>
      </c>
      <c r="M26" s="47">
        <f t="shared" ca="1" si="4"/>
        <v>77.995454545454564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82D21-A730-4CDE-9B7E-D0FDEDACE603}">
  <sheetPr codeName="Sheet20"/>
  <dimension ref="B1:AG32"/>
  <sheetViews>
    <sheetView showGridLines="0" topLeftCell="A7" zoomScale="110" zoomScaleNormal="100" workbookViewId="0">
      <selection activeCell="M29" sqref="M29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55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16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Marroquín Ramírez, Nilton Alexis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78</v>
      </c>
      <c r="F14" s="48"/>
      <c r="G14" s="47">
        <f ca="1">GetValue($C14,  AC1, "F", $V$2)</f>
        <v>38</v>
      </c>
      <c r="H14" s="48"/>
      <c r="I14" s="47">
        <f ca="1">GetValue($C14,  AE1, "F", $V$2)</f>
        <v>91</v>
      </c>
      <c r="J14" s="48"/>
      <c r="K14" s="47">
        <f ca="1">GetValue($C14,  AG1, "F", $V$2)</f>
        <v>95</v>
      </c>
      <c r="L14" s="49"/>
      <c r="M14" s="50">
        <f ca="1">(K14*0.35)+(I14*0.25)+(G14*0.2)+(E14*0.2)</f>
        <v>79.2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78</v>
      </c>
      <c r="F15" s="48"/>
      <c r="G15" s="47">
        <f ca="1">GetValue($C15,  AC1, "H", $V$2)</f>
        <v>38</v>
      </c>
      <c r="H15" s="48"/>
      <c r="I15" s="47">
        <f ca="1">GetValue($C15,  AE1, "H", $V$2)</f>
        <v>91</v>
      </c>
      <c r="J15" s="48"/>
      <c r="K15" s="47">
        <f ca="1">GetValue($C15,  AG1, "H", $V$2)</f>
        <v>97</v>
      </c>
      <c r="L15" s="49"/>
      <c r="M15" s="50">
        <f t="shared" ref="M15:M24" ca="1" si="0">(K15*0.35)+(I15*0.25)+(G15*0.2)+(E15*0.2)</f>
        <v>79.900000000000006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76</v>
      </c>
      <c r="F16" s="48"/>
      <c r="G16" s="47">
        <f ca="1">GetValue($C16,  AC1, "J", $V$2)</f>
        <v>60</v>
      </c>
      <c r="H16" s="48"/>
      <c r="I16" s="47">
        <f ca="1">GetValue($C16,  AE1, "J", $V$2)</f>
        <v>72</v>
      </c>
      <c r="J16" s="48"/>
      <c r="K16" s="47">
        <f ca="1">GetValue($C16,  AG1, "J", $V$2)</f>
        <v>92</v>
      </c>
      <c r="L16" s="49"/>
      <c r="M16" s="50">
        <f t="shared" ca="1" si="0"/>
        <v>77.399999999999991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66</v>
      </c>
      <c r="F17" s="48"/>
      <c r="G17" s="47">
        <f ca="1">GetValue($C17,  AC1, "L", $V$2)</f>
        <v>65</v>
      </c>
      <c r="H17" s="48"/>
      <c r="I17" s="47">
        <f ca="1">GetValue($C17,  AE1, "L", $V$2)</f>
        <v>56</v>
      </c>
      <c r="J17" s="48"/>
      <c r="K17" s="47">
        <f ca="1">GetValue($C17,  AG1, "L", $V$2)</f>
        <v>95</v>
      </c>
      <c r="L17" s="49"/>
      <c r="M17" s="50">
        <f t="shared" ca="1" si="0"/>
        <v>73.45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69</v>
      </c>
      <c r="F18" s="48"/>
      <c r="G18" s="47">
        <f ca="1">GetValue($C18,  AC1, "N", $V$2)</f>
        <v>46</v>
      </c>
      <c r="H18" s="48"/>
      <c r="I18" s="47">
        <f ca="1">GetValue($C18,  AE1, "N", $V$2)</f>
        <v>89</v>
      </c>
      <c r="J18" s="48"/>
      <c r="K18" s="47">
        <f ca="1">GetValue($C18,  AG1, "N", $V$2)</f>
        <v>87</v>
      </c>
      <c r="L18" s="49"/>
      <c r="M18" s="50">
        <f t="shared" ca="1" si="0"/>
        <v>75.7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72</v>
      </c>
      <c r="F19" s="48"/>
      <c r="G19" s="47">
        <f ca="1">GetValue($C19,  AC1, "P", $V$2)</f>
        <v>28</v>
      </c>
      <c r="H19" s="48"/>
      <c r="I19" s="47">
        <f ca="1">GetValue($C19,  AE1, "P", $V$2)</f>
        <v>78</v>
      </c>
      <c r="J19" s="48"/>
      <c r="K19" s="47">
        <f ca="1">GetValue($C19,  AG1, "P", $V$2)</f>
        <v>89</v>
      </c>
      <c r="L19" s="49"/>
      <c r="M19" s="50">
        <f t="shared" ca="1" si="0"/>
        <v>70.650000000000006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92</v>
      </c>
      <c r="F20" s="48"/>
      <c r="G20" s="47">
        <f ca="1">GetValue($C20,  AC1, "R", $V$2)</f>
        <v>40</v>
      </c>
      <c r="H20" s="48"/>
      <c r="I20" s="47">
        <f ca="1">GetValue($C20,  AE1, "R", $V$2)</f>
        <v>85</v>
      </c>
      <c r="J20" s="48"/>
      <c r="K20" s="47">
        <f ca="1">GetValue($C20,  AG1, "R", $V$2)</f>
        <v>91</v>
      </c>
      <c r="L20" s="49"/>
      <c r="M20" s="50">
        <f t="shared" ca="1" si="0"/>
        <v>79.5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87</v>
      </c>
      <c r="F21" s="48"/>
      <c r="G21" s="47">
        <f ca="1">GetValue($C21,  AC1, "T", $V$2)</f>
        <v>95</v>
      </c>
      <c r="H21" s="48"/>
      <c r="I21" s="47">
        <f ca="1">GetValue($C21,  AE1, "T", $V$2)</f>
        <v>73</v>
      </c>
      <c r="J21" s="48"/>
      <c r="K21" s="47">
        <f ca="1">GetValue($C21,  AG1, "T", $V$2)</f>
        <v>98</v>
      </c>
      <c r="L21" s="49"/>
      <c r="M21" s="50">
        <f t="shared" ca="1" si="0"/>
        <v>88.95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75</v>
      </c>
      <c r="F22" s="48"/>
      <c r="G22" s="47">
        <f ca="1">GetValue($C22,  AC1, "V", $V$2)</f>
        <v>90</v>
      </c>
      <c r="H22" s="48"/>
      <c r="I22" s="47">
        <f ca="1">GetValue($C22,  AE1, "V", $V$2)</f>
        <v>65</v>
      </c>
      <c r="J22" s="48"/>
      <c r="K22" s="47">
        <f ca="1">GetValue($C22,  AG1, "V", $V$2)</f>
        <v>65</v>
      </c>
      <c r="L22" s="49"/>
      <c r="M22" s="50">
        <f t="shared" ca="1" si="0"/>
        <v>72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80</v>
      </c>
      <c r="F23" s="48"/>
      <c r="G23" s="47">
        <f ca="1">GetValue($C23,  AC1, "X", $V$2)</f>
        <v>90</v>
      </c>
      <c r="H23" s="48"/>
      <c r="I23" s="47">
        <f ca="1">GetValue($C23,  AE1, "X", $V$2)</f>
        <v>98</v>
      </c>
      <c r="J23" s="48"/>
      <c r="K23" s="47">
        <f ca="1">GetValue($C23,  AG1, "X", $V$2)</f>
        <v>85</v>
      </c>
      <c r="L23" s="49"/>
      <c r="M23" s="50">
        <f t="shared" ca="1" si="0"/>
        <v>88.25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80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82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77.545454545454547</v>
      </c>
      <c r="F26" s="47" t="e">
        <f t="shared" ref="F26:M26" ca="1" si="4">AVERAGE(F14:F24)</f>
        <v>#VALUE!</v>
      </c>
      <c r="G26" s="47">
        <f t="shared" ca="1" si="4"/>
        <v>61.81818181818182</v>
      </c>
      <c r="H26" s="47" t="e">
        <f t="shared" ca="1" si="4"/>
        <v>#VALUE!</v>
      </c>
      <c r="I26" s="47">
        <f t="shared" ca="1" si="4"/>
        <v>79.818181818181813</v>
      </c>
      <c r="J26" s="47" t="e">
        <f t="shared" ca="1" si="4"/>
        <v>#VALUE!</v>
      </c>
      <c r="K26" s="47">
        <f t="shared" ca="1" si="4"/>
        <v>88.545454545454547</v>
      </c>
      <c r="L26" s="47" t="e">
        <f t="shared" si="4"/>
        <v>#DIV/0!</v>
      </c>
      <c r="M26" s="47">
        <f t="shared" ca="1" si="4"/>
        <v>78.818181818181813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9C6DA-A384-4605-ABD9-C69807B67822}">
  <sheetPr codeName="Sheet21"/>
  <dimension ref="B1:AG32"/>
  <sheetViews>
    <sheetView showGridLines="0" topLeftCell="A4" zoomScale="110" zoomScaleNormal="100" workbookViewId="0">
      <selection activeCell="S26" sqref="S26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56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17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Martínez Cuyún, María Inés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95</v>
      </c>
      <c r="F14" s="48"/>
      <c r="G14" s="47">
        <f ca="1">GetValue($C14,  AC1, "F", $V$2)</f>
        <v>59</v>
      </c>
      <c r="H14" s="48"/>
      <c r="I14" s="47">
        <f ca="1">GetValue($C14,  AE1, "F", $V$2)</f>
        <v>91</v>
      </c>
      <c r="J14" s="48"/>
      <c r="K14" s="47">
        <f ca="1">GetValue($C14,  AG1, "F", $V$2)</f>
        <v>100</v>
      </c>
      <c r="L14" s="49"/>
      <c r="M14" s="50">
        <f ca="1">(K14*0.35)+(I14*0.25)+(G14*0.2)+(E14*0.2)</f>
        <v>88.55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95</v>
      </c>
      <c r="F15" s="48"/>
      <c r="G15" s="47">
        <f ca="1">GetValue($C15,  AC1, "H", $V$2)</f>
        <v>59</v>
      </c>
      <c r="H15" s="48"/>
      <c r="I15" s="47">
        <f ca="1">GetValue($C15,  AE1, "H", $V$2)</f>
        <v>91</v>
      </c>
      <c r="J15" s="48"/>
      <c r="K15" s="47">
        <f ca="1">GetValue($C15,  AG1, "H", $V$2)</f>
        <v>90</v>
      </c>
      <c r="L15" s="49"/>
      <c r="M15" s="50">
        <f t="shared" ref="M15:M24" ca="1" si="0">(K15*0.35)+(I15*0.25)+(G15*0.2)+(E15*0.2)</f>
        <v>85.05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72</v>
      </c>
      <c r="F16" s="48"/>
      <c r="G16" s="47">
        <f ca="1">GetValue($C16,  AC1, "J", $V$2)</f>
        <v>70</v>
      </c>
      <c r="H16" s="48"/>
      <c r="I16" s="47">
        <f ca="1">GetValue($C16,  AE1, "J", $V$2)</f>
        <v>77</v>
      </c>
      <c r="J16" s="48"/>
      <c r="K16" s="47">
        <f ca="1">GetValue($C16,  AG1, "J", $V$2)</f>
        <v>69</v>
      </c>
      <c r="L16" s="49"/>
      <c r="M16" s="50">
        <f t="shared" ca="1" si="0"/>
        <v>71.8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89</v>
      </c>
      <c r="F17" s="48"/>
      <c r="G17" s="47">
        <f ca="1">GetValue($C17,  AC1, "L", $V$2)</f>
        <v>57</v>
      </c>
      <c r="H17" s="48"/>
      <c r="I17" s="47">
        <f ca="1">GetValue($C17,  AE1, "L", $V$2)</f>
        <v>55</v>
      </c>
      <c r="J17" s="48"/>
      <c r="K17" s="47">
        <f ca="1">GetValue($C17,  AG1, "L", $V$2)</f>
        <v>78</v>
      </c>
      <c r="L17" s="49"/>
      <c r="M17" s="50">
        <f t="shared" ca="1" si="0"/>
        <v>70.25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48</v>
      </c>
      <c r="F18" s="48"/>
      <c r="G18" s="47">
        <f ca="1">GetValue($C18,  AC1, "N", $V$2)</f>
        <v>52</v>
      </c>
      <c r="H18" s="48"/>
      <c r="I18" s="47">
        <f ca="1">GetValue($C18,  AE1, "N", $V$2)</f>
        <v>62</v>
      </c>
      <c r="J18" s="48"/>
      <c r="K18" s="47">
        <f ca="1">GetValue($C18,  AG1, "N", $V$2)</f>
        <v>57</v>
      </c>
      <c r="L18" s="49"/>
      <c r="M18" s="110">
        <f t="shared" ca="1" si="0"/>
        <v>55.45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64</v>
      </c>
      <c r="F19" s="48"/>
      <c r="G19" s="47">
        <f ca="1">GetValue($C19,  AC1, "P", $V$2)</f>
        <v>40</v>
      </c>
      <c r="H19" s="48"/>
      <c r="I19" s="47">
        <f ca="1">GetValue($C19,  AE1, "P", $V$2)</f>
        <v>76</v>
      </c>
      <c r="J19" s="48"/>
      <c r="K19" s="47">
        <f ca="1">GetValue($C19,  AG1, "P", $V$2)</f>
        <v>68</v>
      </c>
      <c r="L19" s="49"/>
      <c r="M19" s="50">
        <f t="shared" ca="1" si="0"/>
        <v>63.599999999999994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65</v>
      </c>
      <c r="F20" s="48"/>
      <c r="G20" s="47">
        <f ca="1">GetValue($C20,  AC1, "R", $V$2)</f>
        <v>79</v>
      </c>
      <c r="H20" s="48"/>
      <c r="I20" s="47">
        <f ca="1">GetValue($C20,  AE1, "R", $V$2)</f>
        <v>88</v>
      </c>
      <c r="J20" s="48"/>
      <c r="K20" s="47">
        <f ca="1">GetValue($C20,  AG1, "R", $V$2)</f>
        <v>98</v>
      </c>
      <c r="L20" s="49"/>
      <c r="M20" s="50">
        <f t="shared" ca="1" si="0"/>
        <v>85.1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66</v>
      </c>
      <c r="F21" s="48"/>
      <c r="G21" s="47">
        <f ca="1">GetValue($C21,  AC1, "T", $V$2)</f>
        <v>54</v>
      </c>
      <c r="H21" s="48"/>
      <c r="I21" s="47">
        <f ca="1">GetValue($C21,  AE1, "T", $V$2)</f>
        <v>96</v>
      </c>
      <c r="J21" s="48"/>
      <c r="K21" s="47">
        <f ca="1">GetValue($C21,  AG1, "T", $V$2)</f>
        <v>100</v>
      </c>
      <c r="L21" s="49"/>
      <c r="M21" s="50">
        <f t="shared" ca="1" si="0"/>
        <v>83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85</v>
      </c>
      <c r="F22" s="48"/>
      <c r="G22" s="47">
        <f ca="1">GetValue($C22,  AC1, "V", $V$2)</f>
        <v>90</v>
      </c>
      <c r="H22" s="48"/>
      <c r="I22" s="47">
        <f ca="1">GetValue($C22,  AE1, "V", $V$2)</f>
        <v>85</v>
      </c>
      <c r="J22" s="48"/>
      <c r="K22" s="47">
        <f ca="1">GetValue($C22,  AG1, "V", $V$2)</f>
        <v>85</v>
      </c>
      <c r="L22" s="49"/>
      <c r="M22" s="50">
        <f t="shared" ca="1" si="0"/>
        <v>86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74</v>
      </c>
      <c r="F23" s="48"/>
      <c r="G23" s="47">
        <f ca="1">GetValue($C23,  AC1, "X", $V$2)</f>
        <v>80</v>
      </c>
      <c r="H23" s="48"/>
      <c r="I23" s="47">
        <f ca="1">GetValue($C23,  AE1, "X", $V$2)</f>
        <v>90</v>
      </c>
      <c r="J23" s="48"/>
      <c r="K23" s="47">
        <f ca="1">GetValue($C23,  AG1, "X", $V$2)</f>
        <v>50</v>
      </c>
      <c r="L23" s="49"/>
      <c r="M23" s="50">
        <f t="shared" ca="1" si="0"/>
        <v>70.8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90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70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81.5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76.63636363636364</v>
      </c>
      <c r="F26" s="47" t="e">
        <f t="shared" ref="F26:M26" ca="1" si="4">AVERAGE(F14:F24)</f>
        <v>#VALUE!</v>
      </c>
      <c r="G26" s="47">
        <f t="shared" ca="1" si="4"/>
        <v>66.36363636363636</v>
      </c>
      <c r="H26" s="47" t="e">
        <f t="shared" ca="1" si="4"/>
        <v>#VALUE!</v>
      </c>
      <c r="I26" s="47">
        <f t="shared" ca="1" si="4"/>
        <v>80.090909090909093</v>
      </c>
      <c r="J26" s="47" t="e">
        <f t="shared" ca="1" si="4"/>
        <v>#VALUE!</v>
      </c>
      <c r="K26" s="47">
        <f t="shared" ca="1" si="4"/>
        <v>79.545454545454547</v>
      </c>
      <c r="L26" s="47" t="e">
        <f t="shared" si="4"/>
        <v>#DIV/0!</v>
      </c>
      <c r="M26" s="47">
        <f t="shared" ca="1" si="4"/>
        <v>76.463636363636354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E1F8-A738-4F1D-AD44-9E3A6304EE60}">
  <sheetPr codeName="Sheet22"/>
  <dimension ref="B1:AG32"/>
  <sheetViews>
    <sheetView showGridLines="0" topLeftCell="A7" zoomScale="110" zoomScaleNormal="100" workbookViewId="0">
      <selection activeCell="K12" sqref="K12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57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18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Mendoza Romero, José Fernando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88</v>
      </c>
      <c r="F14" s="48"/>
      <c r="G14" s="47">
        <f ca="1">GetValue($C14,  AC1, "F", $V$2)</f>
        <v>43</v>
      </c>
      <c r="H14" s="48"/>
      <c r="I14" s="47">
        <f ca="1">GetValue($C14,  AE1, "F", $V$2)</f>
        <v>78</v>
      </c>
      <c r="J14" s="48"/>
      <c r="K14" s="47">
        <f ca="1">GetValue($C14,  AG1, "F", $V$2)</f>
        <v>95</v>
      </c>
      <c r="L14" s="49"/>
      <c r="M14" s="50">
        <f ca="1">(K14*0.35)+(I14*0.25)+(G14*0.2)+(E14*0.2)</f>
        <v>78.95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88</v>
      </c>
      <c r="F15" s="48"/>
      <c r="G15" s="47">
        <f ca="1">GetValue($C15,  AC1, "H", $V$2)</f>
        <v>43</v>
      </c>
      <c r="H15" s="48"/>
      <c r="I15" s="47">
        <f ca="1">GetValue($C15,  AE1, "H", $V$2)</f>
        <v>78</v>
      </c>
      <c r="J15" s="48"/>
      <c r="K15" s="47">
        <f ca="1">GetValue($C15,  AG1, "H", $V$2)</f>
        <v>81</v>
      </c>
      <c r="L15" s="49"/>
      <c r="M15" s="50">
        <f t="shared" ref="M15:M24" ca="1" si="0">(K15*0.35)+(I15*0.25)+(G15*0.2)+(E15*0.2)</f>
        <v>74.05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70</v>
      </c>
      <c r="F16" s="48"/>
      <c r="G16" s="47">
        <f ca="1">GetValue($C16,  AC1, "J", $V$2)</f>
        <v>66.5</v>
      </c>
      <c r="H16" s="48"/>
      <c r="I16" s="47">
        <f ca="1">GetValue($C16,  AE1, "J", $V$2)</f>
        <v>72</v>
      </c>
      <c r="J16" s="48"/>
      <c r="K16" s="47">
        <f ca="1">GetValue($C16,  AG1, "J", $V$2)</f>
        <v>70</v>
      </c>
      <c r="L16" s="49"/>
      <c r="M16" s="50">
        <f t="shared" ca="1" si="0"/>
        <v>69.8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82</v>
      </c>
      <c r="F17" s="48"/>
      <c r="G17" s="47">
        <f ca="1">GetValue($C17,  AC1, "L", $V$2)</f>
        <v>93</v>
      </c>
      <c r="H17" s="48"/>
      <c r="I17" s="47">
        <f ca="1">GetValue($C17,  AE1, "L", $V$2)</f>
        <v>85</v>
      </c>
      <c r="J17" s="48"/>
      <c r="K17" s="47">
        <f ca="1">GetValue($C17,  AG1, "L", $V$2)</f>
        <v>98</v>
      </c>
      <c r="L17" s="49"/>
      <c r="M17" s="50">
        <f t="shared" ca="1" si="0"/>
        <v>90.550000000000011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62</v>
      </c>
      <c r="F18" s="48"/>
      <c r="G18" s="47">
        <f ca="1">GetValue($C18,  AC1, "N", $V$2)</f>
        <v>89</v>
      </c>
      <c r="H18" s="48"/>
      <c r="I18" s="47">
        <f ca="1">GetValue($C18,  AE1, "N", $V$2)</f>
        <v>87</v>
      </c>
      <c r="J18" s="48"/>
      <c r="K18" s="47">
        <f ca="1">GetValue($C18,  AG1, "N", $V$2)</f>
        <v>53</v>
      </c>
      <c r="L18" s="49"/>
      <c r="M18" s="50">
        <f t="shared" ca="1" si="0"/>
        <v>70.5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85</v>
      </c>
      <c r="F19" s="48"/>
      <c r="G19" s="47">
        <f ca="1">GetValue($C19,  AC1, "P", $V$2)</f>
        <v>78</v>
      </c>
      <c r="H19" s="48"/>
      <c r="I19" s="47">
        <f ca="1">GetValue($C19,  AE1, "P", $V$2)</f>
        <v>42</v>
      </c>
      <c r="J19" s="48"/>
      <c r="K19" s="47">
        <f ca="1">GetValue($C19,  AG1, "P", $V$2)</f>
        <v>71</v>
      </c>
      <c r="L19" s="49"/>
      <c r="M19" s="50">
        <f t="shared" ca="1" si="0"/>
        <v>67.949999999999989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61</v>
      </c>
      <c r="F20" s="48"/>
      <c r="G20" s="47">
        <f ca="1">GetValue($C20,  AC1, "R", $V$2)</f>
        <v>90</v>
      </c>
      <c r="H20" s="48"/>
      <c r="I20" s="47">
        <f ca="1">GetValue($C20,  AE1, "R", $V$2)</f>
        <v>78</v>
      </c>
      <c r="J20" s="48"/>
      <c r="K20" s="47">
        <f ca="1">GetValue($C20,  AG1, "R", $V$2)</f>
        <v>84</v>
      </c>
      <c r="L20" s="49"/>
      <c r="M20" s="50">
        <f t="shared" ca="1" si="0"/>
        <v>79.100000000000009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72</v>
      </c>
      <c r="F21" s="48"/>
      <c r="G21" s="47">
        <f ca="1">GetValue($C21,  AC1, "T", $V$2)</f>
        <v>67</v>
      </c>
      <c r="H21" s="48"/>
      <c r="I21" s="47">
        <f ca="1">GetValue($C21,  AE1, "T", $V$2)</f>
        <v>87</v>
      </c>
      <c r="J21" s="48"/>
      <c r="K21" s="47">
        <f ca="1">GetValue($C21,  AG1, "T", $V$2)</f>
        <v>91</v>
      </c>
      <c r="L21" s="49"/>
      <c r="M21" s="50">
        <f t="shared" ca="1" si="0"/>
        <v>81.400000000000006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85</v>
      </c>
      <c r="F22" s="48"/>
      <c r="G22" s="47">
        <f ca="1">GetValue($C22,  AC1, "V", $V$2)</f>
        <v>30</v>
      </c>
      <c r="H22" s="48"/>
      <c r="I22" s="47">
        <f ca="1">GetValue($C22,  AE1, "V", $V$2)</f>
        <v>70</v>
      </c>
      <c r="J22" s="48"/>
      <c r="K22" s="47">
        <f ca="1">GetValue($C22,  AG1, "V", $V$2)</f>
        <v>70</v>
      </c>
      <c r="L22" s="49"/>
      <c r="M22" s="50">
        <f t="shared" ca="1" si="0"/>
        <v>65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88</v>
      </c>
      <c r="F23" s="48"/>
      <c r="G23" s="47">
        <f ca="1">GetValue($C23,  AC1, "X", $V$2)</f>
        <v>80</v>
      </c>
      <c r="H23" s="48"/>
      <c r="I23" s="47">
        <f ca="1">GetValue($C23,  AE1, "X", $V$2)</f>
        <v>72</v>
      </c>
      <c r="J23" s="48"/>
      <c r="K23" s="47">
        <f ca="1">GetValue($C23,  AG1, "X", $V$2)</f>
        <v>75</v>
      </c>
      <c r="L23" s="49"/>
      <c r="M23" s="50">
        <f t="shared" ca="1" si="0"/>
        <v>77.849999999999994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88</v>
      </c>
      <c r="F24" s="47" t="e">
        <f t="shared" ref="F24:K24" ca="1" si="2">GetValue($C24,  AB1, "z", $V$2)</f>
        <v>#VALUE!</v>
      </c>
      <c r="G24" s="47">
        <f t="shared" ca="1" si="2"/>
        <v>87</v>
      </c>
      <c r="H24" s="47" t="e">
        <f t="shared" ca="1" si="2"/>
        <v>#VALUE!</v>
      </c>
      <c r="I24" s="47">
        <f t="shared" ca="1" si="2"/>
        <v>80</v>
      </c>
      <c r="J24" s="47" t="e">
        <f t="shared" ca="1" si="2"/>
        <v>#VALUE!</v>
      </c>
      <c r="K24" s="47">
        <f t="shared" ca="1" si="2"/>
        <v>90</v>
      </c>
      <c r="L24" s="30"/>
      <c r="M24" s="50">
        <f t="shared" ca="1" si="0"/>
        <v>86.5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79</v>
      </c>
      <c r="F26" s="47" t="e">
        <f t="shared" ref="F26:M26" ca="1" si="4">AVERAGE(F14:F24)</f>
        <v>#VALUE!</v>
      </c>
      <c r="G26" s="47">
        <f t="shared" ca="1" si="4"/>
        <v>69.681818181818187</v>
      </c>
      <c r="H26" s="47" t="e">
        <f t="shared" ca="1" si="4"/>
        <v>#VALUE!</v>
      </c>
      <c r="I26" s="47">
        <f t="shared" ca="1" si="4"/>
        <v>75.36363636363636</v>
      </c>
      <c r="J26" s="47" t="e">
        <f t="shared" ca="1" si="4"/>
        <v>#VALUE!</v>
      </c>
      <c r="K26" s="47">
        <f t="shared" ca="1" si="4"/>
        <v>79.818181818181813</v>
      </c>
      <c r="L26" s="47" t="e">
        <f t="shared" si="4"/>
        <v>#DIV/0!</v>
      </c>
      <c r="M26" s="47">
        <f t="shared" ca="1" si="4"/>
        <v>76.513636363636365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201C6-BFB2-45C2-8297-3C053A57420E}">
  <sheetPr codeName="Sheet23"/>
  <dimension ref="B1:AG32"/>
  <sheetViews>
    <sheetView showGridLines="0" topLeftCell="A10" zoomScale="121" zoomScaleNormal="100" workbookViewId="0">
      <selection activeCell="E28" sqref="E28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58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19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Moctezuma Orenos, Kimberly Gabriela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74</v>
      </c>
      <c r="F14" s="48"/>
      <c r="G14" s="47">
        <v>48</v>
      </c>
      <c r="H14" s="48"/>
      <c r="I14" s="47">
        <v>70</v>
      </c>
      <c r="J14" s="48"/>
      <c r="K14" s="47">
        <f ca="1">GetValue($C14,  AG1, "F", $V$2)</f>
        <v>95</v>
      </c>
      <c r="L14" s="49"/>
      <c r="M14" s="50">
        <f ca="1">(K14*0.35)+(I14*0.25)+(G14*0.2)+(E14*0.2)</f>
        <v>75.150000000000006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74</v>
      </c>
      <c r="F15" s="48"/>
      <c r="G15" s="47">
        <v>48</v>
      </c>
      <c r="H15" s="48"/>
      <c r="I15" s="47">
        <v>70</v>
      </c>
      <c r="J15" s="48"/>
      <c r="K15" s="47">
        <f ca="1">GetValue($C15,  AG1, "H", $V$2)</f>
        <v>31</v>
      </c>
      <c r="L15" s="49"/>
      <c r="M15" s="110">
        <f t="shared" ref="M15:M24" ca="1" si="0">(K15*0.35)+(I15*0.25)+(G15*0.2)+(E15*0.2)</f>
        <v>52.75</v>
      </c>
      <c r="N15" s="9"/>
      <c r="O15" s="14" t="str">
        <f t="shared" ref="O15:O23" ca="1" si="1">IF(COUNT(M15)&lt;&gt;0, IF((M15)&gt;=60,"A","R"),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76</v>
      </c>
      <c r="F16" s="48"/>
      <c r="G16" s="50">
        <f ca="1">GetValue($C16,  AC1, "J", $V$2)</f>
        <v>65</v>
      </c>
      <c r="H16" s="94"/>
      <c r="I16" s="50">
        <f ca="1">GetValue($C16,  AE1, "J", $V$2)</f>
        <v>72</v>
      </c>
      <c r="J16" s="48"/>
      <c r="K16" s="47">
        <f ca="1">GetValue($C16,  AG1, "J", $V$2)</f>
        <v>45</v>
      </c>
      <c r="L16" s="49"/>
      <c r="M16" s="50">
        <f t="shared" ca="1" si="0"/>
        <v>61.95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88</v>
      </c>
      <c r="F17" s="48"/>
      <c r="G17" s="50">
        <f ca="1">GetValue($C17,  AC1, "L", $V$2)</f>
        <v>30</v>
      </c>
      <c r="H17" s="94"/>
      <c r="I17" s="50">
        <f ca="1">GetValue($C17,  AE1, "L", $V$2)</f>
        <v>48</v>
      </c>
      <c r="J17" s="48"/>
      <c r="K17" s="47">
        <f ca="1">GetValue($C17,  AG1, "L", $V$2)</f>
        <v>70</v>
      </c>
      <c r="L17" s="49"/>
      <c r="M17" s="50">
        <f t="shared" ca="1" si="0"/>
        <v>60.1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51</v>
      </c>
      <c r="F18" s="48"/>
      <c r="G18" s="50">
        <v>48</v>
      </c>
      <c r="H18" s="94"/>
      <c r="I18" s="50">
        <f ca="1">GetValue($C18,  AE1, "N", $V$2)</f>
        <v>68</v>
      </c>
      <c r="J18" s="48"/>
      <c r="K18" s="47">
        <f ca="1">GetValue($C18,  AG1, "N", $V$2)</f>
        <v>41</v>
      </c>
      <c r="L18" s="49"/>
      <c r="M18" s="110">
        <f t="shared" ca="1" si="0"/>
        <v>51.150000000000006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63</v>
      </c>
      <c r="F19" s="48"/>
      <c r="G19" s="47">
        <v>48</v>
      </c>
      <c r="H19" s="48"/>
      <c r="I19" s="47">
        <v>70</v>
      </c>
      <c r="J19" s="48"/>
      <c r="K19" s="47">
        <f ca="1">GetValue($C19,  AG1, "P", $V$2)</f>
        <v>55</v>
      </c>
      <c r="L19" s="49"/>
      <c r="M19" s="50">
        <v>60</v>
      </c>
      <c r="N19" s="9"/>
      <c r="O19" s="14" t="str">
        <f t="shared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78</v>
      </c>
      <c r="F20" s="48"/>
      <c r="G20" s="47">
        <v>48</v>
      </c>
      <c r="H20" s="48"/>
      <c r="I20" s="47">
        <v>70</v>
      </c>
      <c r="J20" s="48"/>
      <c r="K20" s="47">
        <f ca="1">GetValue($C20,  AG1, "R", $V$2)</f>
        <v>56</v>
      </c>
      <c r="L20" s="49"/>
      <c r="M20" s="50">
        <f t="shared" ca="1" si="0"/>
        <v>62.3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77</v>
      </c>
      <c r="F21" s="48"/>
      <c r="G21" s="50">
        <v>55</v>
      </c>
      <c r="H21" s="48"/>
      <c r="I21" s="50">
        <v>90</v>
      </c>
      <c r="J21" s="48"/>
      <c r="K21" s="47">
        <f ca="1">GetValue($C21,  AG1, "T", $V$2)</f>
        <v>69</v>
      </c>
      <c r="L21" s="49"/>
      <c r="M21" s="50">
        <f t="shared" ca="1" si="0"/>
        <v>73.05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v>70</v>
      </c>
      <c r="F22" s="48"/>
      <c r="G22" s="47">
        <v>75</v>
      </c>
      <c r="H22" s="94"/>
      <c r="I22" s="47">
        <f ca="1">GetValue($C22,  AE1, "V", $V$2)</f>
        <v>85</v>
      </c>
      <c r="J22" s="48"/>
      <c r="K22" s="47">
        <f ca="1">GetValue($C22,  AG1, "V", $V$2)</f>
        <v>85</v>
      </c>
      <c r="L22" s="49"/>
      <c r="M22" s="50">
        <f t="shared" ca="1" si="0"/>
        <v>80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76</v>
      </c>
      <c r="F23" s="48"/>
      <c r="G23" s="47">
        <v>48</v>
      </c>
      <c r="H23" s="48"/>
      <c r="I23" s="47">
        <v>70</v>
      </c>
      <c r="J23" s="48"/>
      <c r="K23" s="47">
        <f ca="1">GetValue($C23,  AG1, "X", $V$2)</f>
        <v>45</v>
      </c>
      <c r="L23" s="49"/>
      <c r="M23" s="110">
        <f t="shared" ca="1" si="0"/>
        <v>58.050000000000004</v>
      </c>
      <c r="N23" s="9"/>
      <c r="O23" s="14" t="str">
        <f t="shared" ca="1" si="1"/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70</v>
      </c>
      <c r="F24" s="47" t="e">
        <f t="shared" ref="F24:K24" ca="1" si="2">GetValue($C24,  AB1, "z", $V$2)</f>
        <v>#VALUE!</v>
      </c>
      <c r="G24" s="47">
        <v>48</v>
      </c>
      <c r="H24" s="47" t="e">
        <f t="shared" ca="1" si="2"/>
        <v>#VALUE!</v>
      </c>
      <c r="I24" s="47">
        <v>70</v>
      </c>
      <c r="J24" s="47" t="e">
        <f t="shared" ca="1" si="2"/>
        <v>#VALUE!</v>
      </c>
      <c r="K24" s="47">
        <f t="shared" ca="1" si="2"/>
        <v>70</v>
      </c>
      <c r="L24" s="30"/>
      <c r="M24" s="111">
        <f t="shared" ca="1" si="0"/>
        <v>65.599999999999994</v>
      </c>
      <c r="N24" s="9"/>
      <c r="O24" s="14" t="str">
        <f t="shared" ref="O24" ca="1" si="3">IF((M24)&gt;=70,"A","R")</f>
        <v>R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72.454545454545453</v>
      </c>
      <c r="F26" s="47" t="e">
        <f t="shared" ref="F26:M26" ca="1" si="4">AVERAGE(F14:F24)</f>
        <v>#VALUE!</v>
      </c>
      <c r="G26" s="47">
        <f t="shared" ca="1" si="4"/>
        <v>51</v>
      </c>
      <c r="H26" s="47" t="e">
        <f t="shared" ca="1" si="4"/>
        <v>#VALUE!</v>
      </c>
      <c r="I26" s="47">
        <f t="shared" ca="1" si="4"/>
        <v>71.181818181818187</v>
      </c>
      <c r="J26" s="47" t="e">
        <f t="shared" ca="1" si="4"/>
        <v>#VALUE!</v>
      </c>
      <c r="K26" s="47">
        <f t="shared" ca="1" si="4"/>
        <v>60.18181818181818</v>
      </c>
      <c r="L26" s="47" t="e">
        <f t="shared" si="4"/>
        <v>#DIV/0!</v>
      </c>
      <c r="M26" s="47">
        <f t="shared" ca="1" si="4"/>
        <v>63.645454545454548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72EE6-B74D-43E8-9BF1-1653C187A31C}">
  <sheetPr codeName="Sheet24"/>
  <dimension ref="B1:AG32"/>
  <sheetViews>
    <sheetView showGridLines="0" topLeftCell="A7" zoomScale="110" zoomScaleNormal="100" workbookViewId="0">
      <selection activeCell="I20" sqref="I20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59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20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Oliva Romero, Jeremy Guillermo Santiago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95</v>
      </c>
      <c r="F14" s="48"/>
      <c r="G14" s="47">
        <f ca="1">GetValue($C14,  AC1, "F", $V$2)</f>
        <v>75</v>
      </c>
      <c r="H14" s="48"/>
      <c r="I14" s="47">
        <f ca="1">GetValue($C14,  AE1, "F", $V$2)</f>
        <v>98</v>
      </c>
      <c r="J14" s="48"/>
      <c r="K14" s="47">
        <f ca="1">GetValue($C14,  AG1, "F", $V$2)</f>
        <v>100</v>
      </c>
      <c r="L14" s="49"/>
      <c r="M14" s="50">
        <f ca="1">(K14*0.35)+(I14*0.25)+(G14*0.2)+(E14*0.2)</f>
        <v>93.5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95</v>
      </c>
      <c r="F15" s="48"/>
      <c r="G15" s="47">
        <f ca="1">GetValue($C15,  AC1, "H", $V$2)</f>
        <v>75</v>
      </c>
      <c r="H15" s="48"/>
      <c r="I15" s="47">
        <f ca="1">GetValue($C15,  AE1, "H", $V$2)</f>
        <v>98</v>
      </c>
      <c r="J15" s="48"/>
      <c r="K15" s="47">
        <f ca="1">GetValue($C15,  AG1, "H", $V$2)</f>
        <v>87</v>
      </c>
      <c r="L15" s="49"/>
      <c r="M15" s="50">
        <f t="shared" ref="M15:M24" ca="1" si="0">(K15*0.35)+(I15*0.25)+(G15*0.2)+(E15*0.2)</f>
        <v>88.95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94</v>
      </c>
      <c r="F16" s="48"/>
      <c r="G16" s="47">
        <f ca="1">GetValue($C16,  AC1, "J", $V$2)</f>
        <v>90</v>
      </c>
      <c r="H16" s="48"/>
      <c r="I16" s="47">
        <f ca="1">GetValue($C16,  AE1, "J", $V$2)</f>
        <v>81</v>
      </c>
      <c r="J16" s="48"/>
      <c r="K16" s="47">
        <f ca="1">GetValue($C16,  AG1, "J", $V$2)</f>
        <v>92</v>
      </c>
      <c r="L16" s="49"/>
      <c r="M16" s="50">
        <f t="shared" ca="1" si="0"/>
        <v>89.249999999999986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93</v>
      </c>
      <c r="F17" s="48"/>
      <c r="G17" s="47">
        <f ca="1">GetValue($C17,  AC1, "L", $V$2)</f>
        <v>100</v>
      </c>
      <c r="H17" s="48"/>
      <c r="I17" s="47">
        <f ca="1">GetValue($C17,  AE1, "L", $V$2)</f>
        <v>94</v>
      </c>
      <c r="J17" s="48"/>
      <c r="K17" s="47">
        <f ca="1">GetValue($C17,  AG1, "L", $V$2)</f>
        <v>100</v>
      </c>
      <c r="L17" s="49"/>
      <c r="M17" s="50">
        <f t="shared" ca="1" si="0"/>
        <v>97.1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75</v>
      </c>
      <c r="F18" s="48"/>
      <c r="G18" s="47">
        <f ca="1">GetValue($C18,  AC1, "N", $V$2)</f>
        <v>100</v>
      </c>
      <c r="H18" s="48"/>
      <c r="I18" s="47">
        <f ca="1">GetValue($C18,  AE1, "N", $V$2)</f>
        <v>95</v>
      </c>
      <c r="J18" s="48"/>
      <c r="K18" s="47">
        <f ca="1">GetValue($C18,  AG1, "N", $V$2)</f>
        <v>60</v>
      </c>
      <c r="L18" s="49"/>
      <c r="M18" s="50">
        <f t="shared" ca="1" si="0"/>
        <v>79.75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100</v>
      </c>
      <c r="F19" s="48"/>
      <c r="G19" s="47">
        <f ca="1">GetValue($C19,  AC1, "P", $V$2)</f>
        <v>60</v>
      </c>
      <c r="H19" s="48"/>
      <c r="I19" s="47">
        <f ca="1">GetValue($C19,  AE1, "P", $V$2)</f>
        <v>70</v>
      </c>
      <c r="J19" s="48"/>
      <c r="K19" s="47">
        <f ca="1">GetValue($C19,  AG1, "P", $V$2)</f>
        <v>83</v>
      </c>
      <c r="L19" s="49"/>
      <c r="M19" s="50">
        <f t="shared" ca="1" si="0"/>
        <v>78.55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93</v>
      </c>
      <c r="F20" s="48"/>
      <c r="G20" s="47">
        <f ca="1">GetValue($C20,  AC1, "R", $V$2)</f>
        <v>84</v>
      </c>
      <c r="H20" s="48"/>
      <c r="I20" s="47">
        <f ca="1">GetValue($C20,  AE1, "R", $V$2)</f>
        <v>98</v>
      </c>
      <c r="J20" s="48"/>
      <c r="K20" s="47">
        <f ca="1">GetValue($C20,  AG1, "R", $V$2)</f>
        <v>93</v>
      </c>
      <c r="L20" s="49"/>
      <c r="M20" s="50">
        <f t="shared" ca="1" si="0"/>
        <v>92.449999999999989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98</v>
      </c>
      <c r="F21" s="48"/>
      <c r="G21" s="47">
        <f ca="1">GetValue($C21,  AC1, "T", $V$2)</f>
        <v>85</v>
      </c>
      <c r="H21" s="48"/>
      <c r="I21" s="47">
        <f ca="1">GetValue($C21,  AE1, "T", $V$2)</f>
        <v>85</v>
      </c>
      <c r="J21" s="48"/>
      <c r="K21" s="47">
        <f ca="1">GetValue($C21,  AG1, "T", $V$2)</f>
        <v>90</v>
      </c>
      <c r="L21" s="49"/>
      <c r="M21" s="50">
        <f t="shared" ca="1" si="0"/>
        <v>89.35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95</v>
      </c>
      <c r="F22" s="48"/>
      <c r="G22" s="47">
        <f ca="1">GetValue($C22,  AC1, "V", $V$2)</f>
        <v>100</v>
      </c>
      <c r="H22" s="48"/>
      <c r="I22" s="47">
        <f ca="1">GetValue($C22,  AE1, "V", $V$2)</f>
        <v>90</v>
      </c>
      <c r="J22" s="48"/>
      <c r="K22" s="47">
        <f ca="1">GetValue($C22,  AG1, "V", $V$2)</f>
        <v>90</v>
      </c>
      <c r="L22" s="49"/>
      <c r="M22" s="50">
        <f t="shared" ca="1" si="0"/>
        <v>93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85</v>
      </c>
      <c r="F23" s="48"/>
      <c r="G23" s="47">
        <f ca="1">GetValue($C23,  AC1, "X", $V$2)</f>
        <v>0</v>
      </c>
      <c r="H23" s="48"/>
      <c r="I23" s="47">
        <f ca="1">GetValue($C23,  AE1, "X", $V$2)</f>
        <v>100</v>
      </c>
      <c r="J23" s="48"/>
      <c r="K23" s="47">
        <f ca="1">GetValue($C23,  AG1, "X", $V$2)</f>
        <v>50</v>
      </c>
      <c r="L23" s="49"/>
      <c r="M23" s="50">
        <f t="shared" ca="1" si="0"/>
        <v>59.5</v>
      </c>
      <c r="N23" s="9"/>
      <c r="O23" s="14" t="str">
        <f t="shared" ca="1" si="1"/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100</v>
      </c>
      <c r="F24" s="47" t="e">
        <f t="shared" ref="F24:K24" ca="1" si="2">GetValue($C24,  AB1, "z", $V$2)</f>
        <v>#VALUE!</v>
      </c>
      <c r="G24" s="47">
        <f t="shared" ca="1" si="2"/>
        <v>95</v>
      </c>
      <c r="H24" s="47" t="e">
        <f t="shared" ca="1" si="2"/>
        <v>#VALUE!</v>
      </c>
      <c r="I24" s="47">
        <f t="shared" ca="1" si="2"/>
        <v>100</v>
      </c>
      <c r="J24" s="47" t="e">
        <f t="shared" ca="1" si="2"/>
        <v>#VALUE!</v>
      </c>
      <c r="K24" s="47">
        <f t="shared" ca="1" si="2"/>
        <v>100</v>
      </c>
      <c r="L24" s="30"/>
      <c r="M24" s="50">
        <f t="shared" ca="1" si="0"/>
        <v>99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93</v>
      </c>
      <c r="F26" s="47" t="e">
        <f t="shared" ref="F26:M26" ca="1" si="4">AVERAGE(F14:F24)</f>
        <v>#VALUE!</v>
      </c>
      <c r="G26" s="47">
        <f t="shared" ca="1" si="4"/>
        <v>78.545454545454547</v>
      </c>
      <c r="H26" s="47" t="e">
        <f t="shared" ca="1" si="4"/>
        <v>#VALUE!</v>
      </c>
      <c r="I26" s="47">
        <f t="shared" ca="1" si="4"/>
        <v>91.727272727272734</v>
      </c>
      <c r="J26" s="47" t="e">
        <f t="shared" ca="1" si="4"/>
        <v>#VALUE!</v>
      </c>
      <c r="K26" s="47">
        <f t="shared" ca="1" si="4"/>
        <v>85.909090909090907</v>
      </c>
      <c r="L26" s="47" t="e">
        <f t="shared" si="4"/>
        <v>#DIV/0!</v>
      </c>
      <c r="M26" s="47">
        <f t="shared" ca="1" si="4"/>
        <v>87.309090909090912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3721-F001-4E1B-BAD0-267D95B4B180}">
  <sheetPr codeName="Sheet25"/>
  <dimension ref="B1:AG32"/>
  <sheetViews>
    <sheetView showGridLines="0" topLeftCell="A7" zoomScale="110" zoomScaleNormal="100" workbookViewId="0">
      <selection activeCell="H20" sqref="H20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60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21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Pérez Días, Britany Xiomara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89</v>
      </c>
      <c r="F14" s="48"/>
      <c r="G14" s="47">
        <f ca="1">GetValue($C14,  AC1, "F", $V$2)</f>
        <v>60</v>
      </c>
      <c r="H14" s="48"/>
      <c r="I14" s="47">
        <f ca="1">GetValue($C14,  AE1, "F", $V$2)</f>
        <v>95</v>
      </c>
      <c r="J14" s="48"/>
      <c r="K14" s="47">
        <f ca="1">GetValue($C14,  AG1, "F", $V$2)</f>
        <v>100</v>
      </c>
      <c r="L14" s="49"/>
      <c r="M14" s="50">
        <f ca="1">(K14*0.35)+(I14*0.25)+(G14*0.2)+(E14*0.2)</f>
        <v>88.55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89</v>
      </c>
      <c r="F15" s="48"/>
      <c r="G15" s="47">
        <f ca="1">GetValue($C15,  AC1, "H", $V$2)</f>
        <v>60</v>
      </c>
      <c r="H15" s="48"/>
      <c r="I15" s="47">
        <f ca="1">GetValue($C15,  AE1, "H", $V$2)</f>
        <v>95</v>
      </c>
      <c r="J15" s="48"/>
      <c r="K15" s="47">
        <f ca="1">GetValue($C15,  AG1, "H", $V$2)</f>
        <v>96</v>
      </c>
      <c r="L15" s="49"/>
      <c r="M15" s="50">
        <f t="shared" ref="M15:M24" ca="1" si="0">(K15*0.35)+(I15*0.25)+(G15*0.2)+(E15*0.2)</f>
        <v>87.149999999999991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90</v>
      </c>
      <c r="F16" s="48"/>
      <c r="G16" s="47">
        <f ca="1">GetValue($C16,  AC1, "J", $V$2)</f>
        <v>78.5</v>
      </c>
      <c r="H16" s="48"/>
      <c r="I16" s="47">
        <f ca="1">GetValue($C16,  AE1, "J", $V$2)</f>
        <v>100</v>
      </c>
      <c r="J16" s="48"/>
      <c r="K16" s="47">
        <f ca="1">GetValue($C16,  AG1, "J", $V$2)</f>
        <v>91</v>
      </c>
      <c r="L16" s="49"/>
      <c r="M16" s="50">
        <f t="shared" ca="1" si="0"/>
        <v>90.55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85</v>
      </c>
      <c r="F17" s="48"/>
      <c r="G17" s="47">
        <f ca="1">GetValue($C17,  AC1, "L", $V$2)</f>
        <v>69</v>
      </c>
      <c r="H17" s="48"/>
      <c r="I17" s="47">
        <f ca="1">GetValue($C17,  AE1, "L", $V$2)</f>
        <v>81</v>
      </c>
      <c r="J17" s="48"/>
      <c r="K17" s="47">
        <f ca="1">GetValue($C17,  AG1, "L", $V$2)</f>
        <v>83</v>
      </c>
      <c r="L17" s="49"/>
      <c r="M17" s="50">
        <f t="shared" ca="1" si="0"/>
        <v>80.099999999999994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60</v>
      </c>
      <c r="F18" s="48"/>
      <c r="G18" s="47">
        <f ca="1">GetValue($C18,  AC1, "N", $V$2)</f>
        <v>80</v>
      </c>
      <c r="H18" s="48"/>
      <c r="I18" s="47">
        <f ca="1">GetValue($C18,  AE1, "N", $V$2)</f>
        <v>80</v>
      </c>
      <c r="J18" s="48"/>
      <c r="K18" s="47">
        <f ca="1">GetValue($C18,  AG1, "N", $V$2)</f>
        <v>98</v>
      </c>
      <c r="L18" s="49"/>
      <c r="M18" s="50">
        <f t="shared" ca="1" si="0"/>
        <v>82.3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51</v>
      </c>
      <c r="F19" s="48"/>
      <c r="G19" s="47">
        <f ca="1">GetValue($C19,  AC1, "P", $V$2)</f>
        <v>70</v>
      </c>
      <c r="H19" s="48"/>
      <c r="I19" s="47">
        <f ca="1">GetValue($C19,  AE1, "P", $V$2)</f>
        <v>76</v>
      </c>
      <c r="J19" s="48"/>
      <c r="K19" s="47">
        <f ca="1">GetValue($C19,  AG1, "P", $V$2)</f>
        <v>92</v>
      </c>
      <c r="L19" s="49"/>
      <c r="M19" s="50">
        <f t="shared" ca="1" si="0"/>
        <v>75.399999999999991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74</v>
      </c>
      <c r="F20" s="48"/>
      <c r="G20" s="47">
        <f ca="1">GetValue($C20,  AC1, "R", $V$2)</f>
        <v>90</v>
      </c>
      <c r="H20" s="48"/>
      <c r="I20" s="47">
        <f ca="1">GetValue($C20,  AE1, "R", $V$2)</f>
        <v>85</v>
      </c>
      <c r="J20" s="48"/>
      <c r="K20" s="47">
        <f ca="1">GetValue($C20,  AG1, "R", $V$2)</f>
        <v>97</v>
      </c>
      <c r="L20" s="49"/>
      <c r="M20" s="50">
        <f t="shared" ca="1" si="0"/>
        <v>87.999999999999986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89</v>
      </c>
      <c r="F21" s="48"/>
      <c r="G21" s="47">
        <f ca="1">GetValue($C21,  AC1, "T", $V$2)</f>
        <v>98</v>
      </c>
      <c r="H21" s="48"/>
      <c r="I21" s="47">
        <f ca="1">GetValue($C21,  AE1, "T", $V$2)</f>
        <v>96</v>
      </c>
      <c r="J21" s="48"/>
      <c r="K21" s="47">
        <f ca="1">GetValue($C21,  AG1, "T", $V$2)</f>
        <v>98</v>
      </c>
      <c r="L21" s="49"/>
      <c r="M21" s="50">
        <f t="shared" ca="1" si="0"/>
        <v>95.7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90</v>
      </c>
      <c r="F22" s="48"/>
      <c r="G22" s="47">
        <f ca="1">GetValue($C22,  AC1, "V", $V$2)</f>
        <v>90</v>
      </c>
      <c r="H22" s="48"/>
      <c r="I22" s="47">
        <f ca="1">GetValue($C22,  AE1, "V", $V$2)</f>
        <v>85</v>
      </c>
      <c r="J22" s="48"/>
      <c r="K22" s="47">
        <f ca="1">GetValue($C22,  AG1, "V", $V$2)</f>
        <v>85</v>
      </c>
      <c r="L22" s="49"/>
      <c r="M22" s="50">
        <f t="shared" ca="1" si="0"/>
        <v>87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71</v>
      </c>
      <c r="F23" s="48"/>
      <c r="G23" s="47">
        <f ca="1">GetValue($C23,  AC1, "X", $V$2)</f>
        <v>80</v>
      </c>
      <c r="H23" s="48"/>
      <c r="I23" s="47">
        <f ca="1">GetValue($C23,  AE1, "X", $V$2)</f>
        <v>97</v>
      </c>
      <c r="J23" s="48"/>
      <c r="K23" s="47">
        <f ca="1">GetValue($C23,  AG1, "X", $V$2)</f>
        <v>90</v>
      </c>
      <c r="L23" s="49"/>
      <c r="M23" s="50">
        <f t="shared" ca="1" si="0"/>
        <v>85.95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80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82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78.909090909090907</v>
      </c>
      <c r="F26" s="47" t="e">
        <f t="shared" ref="F26:M26" ca="1" si="4">AVERAGE(F14:F24)</f>
        <v>#VALUE!</v>
      </c>
      <c r="G26" s="47">
        <f t="shared" ca="1" si="4"/>
        <v>78.681818181818187</v>
      </c>
      <c r="H26" s="47" t="e">
        <f t="shared" ca="1" si="4"/>
        <v>#VALUE!</v>
      </c>
      <c r="I26" s="47">
        <f t="shared" ca="1" si="4"/>
        <v>88.181818181818187</v>
      </c>
      <c r="J26" s="47" t="e">
        <f t="shared" ca="1" si="4"/>
        <v>#VALUE!</v>
      </c>
      <c r="K26" s="47">
        <f t="shared" ca="1" si="4"/>
        <v>91.818181818181813</v>
      </c>
      <c r="L26" s="47" t="e">
        <f t="shared" si="4"/>
        <v>#DIV/0!</v>
      </c>
      <c r="M26" s="47">
        <f t="shared" ca="1" si="4"/>
        <v>85.7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40C15-1D18-481D-8F30-9D3988AFB24D}">
  <sheetPr codeName="Sheet26"/>
  <dimension ref="B1:AG32"/>
  <sheetViews>
    <sheetView showGridLines="0" topLeftCell="A7" zoomScale="110" zoomScaleNormal="100" workbookViewId="0">
      <selection activeCell="I21" sqref="I21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61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22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Pérez Quiñonez, Jonatan Ivan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88</v>
      </c>
      <c r="F14" s="48"/>
      <c r="G14" s="47">
        <f ca="1">GetValue($C14,  AC1, "F", $V$2)</f>
        <v>49</v>
      </c>
      <c r="H14" s="48"/>
      <c r="I14" s="47">
        <f ca="1">GetValue($C14,  AE1, "F", $V$2)</f>
        <v>83</v>
      </c>
      <c r="J14" s="48"/>
      <c r="K14" s="47">
        <f ca="1">GetValue($C14,  AG1, "F", $V$2)</f>
        <v>80</v>
      </c>
      <c r="L14" s="49"/>
      <c r="M14" s="50">
        <f ca="1">(K14*0.35)+(I14*0.2)+(G14*0.2)+(E14*0.2)</f>
        <v>72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88</v>
      </c>
      <c r="F15" s="48"/>
      <c r="G15" s="47">
        <f ca="1">GetValue($C15,  AC1, "H", $V$2)</f>
        <v>49</v>
      </c>
      <c r="H15" s="48"/>
      <c r="I15" s="47">
        <f ca="1">GetValue($C15,  AE1, "H", $V$2)</f>
        <v>83</v>
      </c>
      <c r="J15" s="48"/>
      <c r="K15" s="47">
        <f ca="1">GetValue($C15,  AG1, "H", $V$2)</f>
        <v>77</v>
      </c>
      <c r="L15" s="49"/>
      <c r="M15" s="50">
        <f t="shared" ref="M15:M24" ca="1" si="0">(K15*0.35)+(I15*0.2)+(G15*0.2)+(E15*0.2)</f>
        <v>70.949999999999989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78</v>
      </c>
      <c r="F16" s="48"/>
      <c r="G16" s="47">
        <f ca="1">GetValue($C16,  AC1, "J", $V$2)</f>
        <v>74</v>
      </c>
      <c r="H16" s="48"/>
      <c r="I16" s="47">
        <f ca="1">GetValue($C16,  AE1, "J", $V$2)</f>
        <v>73</v>
      </c>
      <c r="J16" s="48"/>
      <c r="K16" s="47">
        <f ca="1">GetValue($C16,  AG1, "J", $V$2)</f>
        <v>70</v>
      </c>
      <c r="L16" s="49"/>
      <c r="M16" s="50">
        <f t="shared" ca="1" si="0"/>
        <v>69.5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76</v>
      </c>
      <c r="F17" s="48"/>
      <c r="G17" s="47">
        <f ca="1">GetValue($C17,  AC1, "L", $V$2)</f>
        <v>63</v>
      </c>
      <c r="H17" s="48"/>
      <c r="I17" s="47">
        <f ca="1">GetValue($C17,  AE1, "L", $V$2)</f>
        <v>67</v>
      </c>
      <c r="J17" s="48"/>
      <c r="K17" s="47">
        <f ca="1">GetValue($C17,  AG1, "L", $V$2)</f>
        <v>80</v>
      </c>
      <c r="L17" s="49"/>
      <c r="M17" s="50">
        <f t="shared" ca="1" si="0"/>
        <v>69.2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49</v>
      </c>
      <c r="F18" s="48"/>
      <c r="G18" s="47">
        <f ca="1">GetValue($C18,  AC1, "N", $V$2)</f>
        <v>89</v>
      </c>
      <c r="H18" s="48"/>
      <c r="I18" s="47">
        <f ca="1">GetValue($C18,  AE1, "N", $V$2)</f>
        <v>80</v>
      </c>
      <c r="J18" s="48"/>
      <c r="K18" s="47">
        <f ca="1">GetValue($C18,  AG1, "N", $V$2)</f>
        <v>74</v>
      </c>
      <c r="L18" s="49"/>
      <c r="M18" s="50">
        <f t="shared" ca="1" si="0"/>
        <v>69.5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79</v>
      </c>
      <c r="F19" s="48"/>
      <c r="G19" s="47">
        <f ca="1">GetValue($C19,  AC1, "P", $V$2)</f>
        <v>84</v>
      </c>
      <c r="H19" s="48"/>
      <c r="I19" s="47">
        <f ca="1">GetValue($C19,  AE1, "P", $V$2)</f>
        <v>31</v>
      </c>
      <c r="J19" s="48"/>
      <c r="K19" s="47">
        <f ca="1">GetValue($C19,  AG1, "P", $V$2)</f>
        <v>78</v>
      </c>
      <c r="L19" s="49"/>
      <c r="M19" s="50">
        <f t="shared" ca="1" si="0"/>
        <v>66.099999999999994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62</v>
      </c>
      <c r="F20" s="48"/>
      <c r="G20" s="47">
        <f ca="1">GetValue($C20,  AC1, "R", $V$2)</f>
        <v>100</v>
      </c>
      <c r="H20" s="48"/>
      <c r="I20" s="47">
        <f ca="1">GetValue($C20,  AE1, "R", $V$2)</f>
        <v>90</v>
      </c>
      <c r="J20" s="48"/>
      <c r="K20" s="47">
        <f ca="1">GetValue($C20,  AG1, "R", $V$2)</f>
        <v>86</v>
      </c>
      <c r="L20" s="49"/>
      <c r="M20" s="50">
        <f t="shared" ca="1" si="0"/>
        <v>80.5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73</v>
      </c>
      <c r="F21" s="48"/>
      <c r="G21" s="47">
        <f ca="1">GetValue($C21,  AC1, "T", $V$2)</f>
        <v>56</v>
      </c>
      <c r="H21" s="48"/>
      <c r="I21" s="47">
        <f ca="1">GetValue($C21,  AE1, "T", $V$2)</f>
        <v>65</v>
      </c>
      <c r="J21" s="48"/>
      <c r="K21" s="47">
        <f ca="1">GetValue($C21,  AG1, "T", $V$2)</f>
        <v>94</v>
      </c>
      <c r="L21" s="49"/>
      <c r="M21" s="50">
        <f t="shared" ca="1" si="0"/>
        <v>71.7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75</v>
      </c>
      <c r="F22" s="48"/>
      <c r="G22" s="47">
        <f ca="1">GetValue($C22,  AC1, "V", $V$2)</f>
        <v>95</v>
      </c>
      <c r="H22" s="48"/>
      <c r="I22" s="47">
        <f ca="1">GetValue($C22,  AE1, "V", $V$2)</f>
        <v>70</v>
      </c>
      <c r="J22" s="48"/>
      <c r="K22" s="47">
        <f ca="1">GetValue($C22,  AG1, "V", $V$2)</f>
        <v>70</v>
      </c>
      <c r="L22" s="49"/>
      <c r="M22" s="50">
        <f t="shared" ca="1" si="0"/>
        <v>72.5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79</v>
      </c>
      <c r="F23" s="48"/>
      <c r="G23" s="47">
        <f ca="1">GetValue($C23,  AC1, "X", $V$2)</f>
        <v>90</v>
      </c>
      <c r="H23" s="48"/>
      <c r="I23" s="47">
        <f ca="1">GetValue($C23,  AE1, "X", $V$2)</f>
        <v>96</v>
      </c>
      <c r="J23" s="48"/>
      <c r="K23" s="47">
        <f ca="1">GetValue($C23,  AG1, "X", $V$2)</f>
        <v>80</v>
      </c>
      <c r="L23" s="49"/>
      <c r="M23" s="50">
        <f t="shared" ca="1" si="0"/>
        <v>81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100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100</v>
      </c>
      <c r="J24" s="47" t="e">
        <f t="shared" ca="1" si="2"/>
        <v>#VALUE!</v>
      </c>
      <c r="K24" s="47">
        <f t="shared" ca="1" si="2"/>
        <v>100</v>
      </c>
      <c r="L24" s="30"/>
      <c r="M24" s="50">
        <f t="shared" ca="1" si="0"/>
        <v>93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77</v>
      </c>
      <c r="F26" s="47" t="e">
        <f t="shared" ref="F26:M26" ca="1" si="4">AVERAGE(F14:F24)</f>
        <v>#VALUE!</v>
      </c>
      <c r="G26" s="47">
        <f t="shared" ca="1" si="4"/>
        <v>76.272727272727266</v>
      </c>
      <c r="H26" s="47" t="e">
        <f t="shared" ca="1" si="4"/>
        <v>#VALUE!</v>
      </c>
      <c r="I26" s="47">
        <f t="shared" ca="1" si="4"/>
        <v>76.181818181818187</v>
      </c>
      <c r="J26" s="47" t="e">
        <f t="shared" ca="1" si="4"/>
        <v>#VALUE!</v>
      </c>
      <c r="K26" s="47">
        <f t="shared" ca="1" si="4"/>
        <v>80.818181818181813</v>
      </c>
      <c r="L26" s="47" t="e">
        <f t="shared" si="4"/>
        <v>#DIV/0!</v>
      </c>
      <c r="M26" s="47">
        <f t="shared" ca="1" si="4"/>
        <v>74.177272727272737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065C-A2DB-40CA-B9E0-B86537F14376}">
  <sheetPr codeName="Sheet27"/>
  <dimension ref="B1:AG32"/>
  <sheetViews>
    <sheetView showGridLines="0" topLeftCell="A4" zoomScale="110" zoomScaleNormal="100" workbookViewId="0">
      <selection activeCell="I22" sqref="I22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62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23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Pichillá Castillo, Andrea Paola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80</v>
      </c>
      <c r="F14" s="48"/>
      <c r="G14" s="47">
        <f ca="1">GetValue($C14,  AC1, "F", $V$2)</f>
        <v>67</v>
      </c>
      <c r="H14" s="48"/>
      <c r="I14" s="47">
        <f ca="1">GetValue($C14,  AE1, "F", $V$2)</f>
        <v>95</v>
      </c>
      <c r="J14" s="48"/>
      <c r="K14" s="47">
        <f ca="1">GetValue($C14,  AG1, "F", $V$2)</f>
        <v>95</v>
      </c>
      <c r="L14" s="49"/>
      <c r="M14" s="50">
        <f ca="1">(K14*0.35)+(I14*0.25)+(G14*0.2)+(E14*0.2)</f>
        <v>86.4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80</v>
      </c>
      <c r="F15" s="48"/>
      <c r="G15" s="47">
        <f ca="1">GetValue($C15,  AC1, "H", $V$2)</f>
        <v>67</v>
      </c>
      <c r="H15" s="48"/>
      <c r="I15" s="47">
        <f ca="1">GetValue($C15,  AE1, "H", $V$2)</f>
        <v>95</v>
      </c>
      <c r="J15" s="48"/>
      <c r="K15" s="47">
        <f ca="1">GetValue($C15,  AG1, "H", $V$2)</f>
        <v>95</v>
      </c>
      <c r="L15" s="49"/>
      <c r="M15" s="50">
        <f t="shared" ref="M15:M24" ca="1" si="0">(K15*0.35)+(I15*0.25)+(G15*0.2)+(E15*0.2)</f>
        <v>86.4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81</v>
      </c>
      <c r="F16" s="48"/>
      <c r="G16" s="47">
        <f ca="1">GetValue($C16,  AC1, "J", $V$2)</f>
        <v>87</v>
      </c>
      <c r="H16" s="48"/>
      <c r="I16" s="47">
        <f ca="1">GetValue($C16,  AE1, "J", $V$2)</f>
        <v>100</v>
      </c>
      <c r="J16" s="48"/>
      <c r="K16" s="47">
        <f ca="1">GetValue($C16,  AG1, "J", $V$2)</f>
        <v>83</v>
      </c>
      <c r="L16" s="49"/>
      <c r="M16" s="50">
        <f t="shared" ca="1" si="0"/>
        <v>87.65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82</v>
      </c>
      <c r="F17" s="48"/>
      <c r="G17" s="47">
        <f ca="1">GetValue($C17,  AC1, "L", $V$2)</f>
        <v>93</v>
      </c>
      <c r="H17" s="48"/>
      <c r="I17" s="47">
        <f ca="1">GetValue($C17,  AE1, "L", $V$2)</f>
        <v>97</v>
      </c>
      <c r="J17" s="48"/>
      <c r="K17" s="47">
        <f ca="1">GetValue($C17,  AG1, "L", $V$2)</f>
        <v>100</v>
      </c>
      <c r="L17" s="49"/>
      <c r="M17" s="50">
        <f t="shared" ca="1" si="0"/>
        <v>94.25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63</v>
      </c>
      <c r="F18" s="48"/>
      <c r="G18" s="47">
        <f ca="1">GetValue($C18,  AC1, "N", $V$2)</f>
        <v>94</v>
      </c>
      <c r="H18" s="48"/>
      <c r="I18" s="47">
        <f ca="1">GetValue($C18,  AE1, "N", $V$2)</f>
        <v>100</v>
      </c>
      <c r="J18" s="48"/>
      <c r="K18" s="47">
        <f ca="1">GetValue($C18,  AG1, "N", $V$2)</f>
        <v>100</v>
      </c>
      <c r="L18" s="49"/>
      <c r="M18" s="50">
        <f t="shared" ca="1" si="0"/>
        <v>91.4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86</v>
      </c>
      <c r="F19" s="48"/>
      <c r="G19" s="47">
        <f ca="1">GetValue($C19,  AC1, "P", $V$2)</f>
        <v>94</v>
      </c>
      <c r="H19" s="48"/>
      <c r="I19" s="47">
        <f ca="1">GetValue($C19,  AE1, "P", $V$2)</f>
        <v>70</v>
      </c>
      <c r="J19" s="48"/>
      <c r="K19" s="47">
        <f ca="1">GetValue($C19,  AG1, "P", $V$2)</f>
        <v>92</v>
      </c>
      <c r="L19" s="49"/>
      <c r="M19" s="50">
        <f t="shared" ca="1" si="0"/>
        <v>85.7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90</v>
      </c>
      <c r="F20" s="48"/>
      <c r="G20" s="47">
        <f ca="1">GetValue($C20,  AC1, "R", $V$2)</f>
        <v>95</v>
      </c>
      <c r="H20" s="48"/>
      <c r="I20" s="47">
        <f ca="1">GetValue($C20,  AE1, "R", $V$2)</f>
        <v>100</v>
      </c>
      <c r="J20" s="48"/>
      <c r="K20" s="47">
        <f ca="1">GetValue($C20,  AG1, "R", $V$2)</f>
        <v>98</v>
      </c>
      <c r="L20" s="49"/>
      <c r="M20" s="50">
        <f t="shared" ca="1" si="0"/>
        <v>96.3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88</v>
      </c>
      <c r="F21" s="48"/>
      <c r="G21" s="47">
        <f ca="1">GetValue($C21,  AC1, "T", $V$2)</f>
        <v>81</v>
      </c>
      <c r="H21" s="48"/>
      <c r="I21" s="47">
        <f ca="1">GetValue($C21,  AE1, "T", $V$2)</f>
        <v>100</v>
      </c>
      <c r="J21" s="48"/>
      <c r="K21" s="47">
        <f ca="1">GetValue($C21,  AG1, "T", $V$2)</f>
        <v>100</v>
      </c>
      <c r="L21" s="49"/>
      <c r="M21" s="50">
        <f t="shared" ca="1" si="0"/>
        <v>93.800000000000011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95</v>
      </c>
      <c r="F22" s="48"/>
      <c r="G22" s="47">
        <f ca="1">GetValue($C22,  AC1, "V", $V$2)</f>
        <v>100</v>
      </c>
      <c r="H22" s="48"/>
      <c r="I22" s="47">
        <f ca="1">GetValue($C22,  AE1, "V", $V$2)</f>
        <v>90</v>
      </c>
      <c r="J22" s="48"/>
      <c r="K22" s="47">
        <f ca="1">GetValue($C22,  AG1, "V", $V$2)</f>
        <v>90</v>
      </c>
      <c r="L22" s="49"/>
      <c r="M22" s="50">
        <f t="shared" ca="1" si="0"/>
        <v>93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92</v>
      </c>
      <c r="F23" s="48"/>
      <c r="G23" s="47">
        <f ca="1">GetValue($C23,  AC1, "X", $V$2)</f>
        <v>80</v>
      </c>
      <c r="H23" s="48"/>
      <c r="I23" s="47">
        <f ca="1">GetValue($C23,  AE1, "X", $V$2)</f>
        <v>97</v>
      </c>
      <c r="J23" s="48"/>
      <c r="K23" s="47">
        <f ca="1">GetValue($C23,  AG1, "X", $V$2)</f>
        <v>75</v>
      </c>
      <c r="L23" s="49"/>
      <c r="M23" s="50">
        <f t="shared" ca="1" si="0"/>
        <v>84.9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80</v>
      </c>
      <c r="F24" s="47" t="e">
        <f t="shared" ref="F24:K24" ca="1" si="2">GetValue($C24,  AB1, "z", $V$2)</f>
        <v>#VALUE!</v>
      </c>
      <c r="G24" s="47">
        <f t="shared" ca="1" si="2"/>
        <v>88</v>
      </c>
      <c r="H24" s="47" t="e">
        <f t="shared" ca="1" si="2"/>
        <v>#VALUE!</v>
      </c>
      <c r="I24" s="47">
        <f t="shared" ca="1" si="2"/>
        <v>80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81.599999999999994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83.36363636363636</v>
      </c>
      <c r="F26" s="47" t="e">
        <f t="shared" ref="F26:M26" ca="1" si="4">AVERAGE(F14:F24)</f>
        <v>#VALUE!</v>
      </c>
      <c r="G26" s="47">
        <f t="shared" ca="1" si="4"/>
        <v>86</v>
      </c>
      <c r="H26" s="47" t="e">
        <f t="shared" ca="1" si="4"/>
        <v>#VALUE!</v>
      </c>
      <c r="I26" s="47">
        <f t="shared" ca="1" si="4"/>
        <v>93.090909090909093</v>
      </c>
      <c r="J26" s="47" t="e">
        <f t="shared" ca="1" si="4"/>
        <v>#VALUE!</v>
      </c>
      <c r="K26" s="47">
        <f t="shared" ca="1" si="4"/>
        <v>91.63636363636364</v>
      </c>
      <c r="L26" s="47" t="e">
        <f t="shared" si="4"/>
        <v>#DIV/0!</v>
      </c>
      <c r="M26" s="47">
        <f t="shared" ca="1" si="4"/>
        <v>89.218181818181833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7FCBD-E115-4F3C-92E8-425A4187B500}">
  <sheetPr codeName="Sheet28"/>
  <dimension ref="B1:AG32"/>
  <sheetViews>
    <sheetView showGridLines="0" topLeftCell="A4" zoomScale="110" zoomScaleNormal="100" workbookViewId="0">
      <selection activeCell="K20" sqref="K20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63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24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Quina Melendez, Erika Yustina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77</v>
      </c>
      <c r="F14" s="48"/>
      <c r="G14" s="47">
        <f ca="1">GetValue($C14,  AC1, "F", $V$2)</f>
        <v>58</v>
      </c>
      <c r="H14" s="48"/>
      <c r="I14" s="47">
        <f ca="1">GetValue($C14,  AE1, "F", $V$2)</f>
        <v>97</v>
      </c>
      <c r="J14" s="48"/>
      <c r="K14" s="47">
        <f ca="1">GetValue($C14,  AG1, "F", $V$2)</f>
        <v>85</v>
      </c>
      <c r="L14" s="49"/>
      <c r="M14" s="50">
        <f ca="1">(K14*0.35)+(I14*0.25)+(G14*0.2)+(E14*0.2)</f>
        <v>81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77</v>
      </c>
      <c r="F15" s="48"/>
      <c r="G15" s="47">
        <f ca="1">GetValue($C15,  AC1, "H", $V$2)</f>
        <v>58</v>
      </c>
      <c r="H15" s="48"/>
      <c r="I15" s="47">
        <f ca="1">GetValue($C15,  AE1, "H", $V$2)</f>
        <v>97</v>
      </c>
      <c r="J15" s="48"/>
      <c r="K15" s="47">
        <f ca="1">GetValue($C15,  AG1, "H", $V$2)</f>
        <v>88</v>
      </c>
      <c r="L15" s="49"/>
      <c r="M15" s="50">
        <f t="shared" ref="M15:M24" ca="1" si="0">(K15*0.35)+(I15*0.25)+(G15*0.2)+(E15*0.2)</f>
        <v>82.050000000000011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65</v>
      </c>
      <c r="F16" s="48"/>
      <c r="G16" s="47">
        <f ca="1">GetValue($C16,  AC1, "J", $V$2)</f>
        <v>64</v>
      </c>
      <c r="H16" s="48"/>
      <c r="I16" s="47">
        <f ca="1">GetValue($C16,  AE1, "J", $V$2)</f>
        <v>75</v>
      </c>
      <c r="J16" s="48"/>
      <c r="K16" s="47">
        <f ca="1">GetValue($C16,  AG1, "J", $V$2)</f>
        <v>75</v>
      </c>
      <c r="L16" s="49"/>
      <c r="M16" s="50">
        <f t="shared" ca="1" si="0"/>
        <v>70.8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95</v>
      </c>
      <c r="F17" s="48"/>
      <c r="G17" s="47">
        <f ca="1">GetValue($C17,  AC1, "L", $V$2)</f>
        <v>88</v>
      </c>
      <c r="H17" s="48"/>
      <c r="I17" s="47">
        <f ca="1">GetValue($C17,  AE1, "L", $V$2)</f>
        <v>77</v>
      </c>
      <c r="J17" s="48"/>
      <c r="K17" s="47">
        <f ca="1">GetValue($C17,  AG1, "L", $V$2)</f>
        <v>60</v>
      </c>
      <c r="L17" s="49"/>
      <c r="M17" s="50">
        <f t="shared" ca="1" si="0"/>
        <v>76.849999999999994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87</v>
      </c>
      <c r="F18" s="48"/>
      <c r="G18" s="47">
        <f ca="1">GetValue($C18,  AC1, "N", $V$2)</f>
        <v>100</v>
      </c>
      <c r="H18" s="48"/>
      <c r="I18" s="47">
        <f ca="1">GetValue($C18,  AE1, "N", $V$2)</f>
        <v>100</v>
      </c>
      <c r="J18" s="48"/>
      <c r="K18" s="47">
        <f ca="1">GetValue($C18,  AG1, "N", $V$2)</f>
        <v>98</v>
      </c>
      <c r="L18" s="49"/>
      <c r="M18" s="50">
        <f t="shared" ca="1" si="0"/>
        <v>96.7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86</v>
      </c>
      <c r="F19" s="48"/>
      <c r="G19" s="47">
        <f ca="1">GetValue($C19,  AC1, "P", $V$2)</f>
        <v>87</v>
      </c>
      <c r="H19" s="48"/>
      <c r="I19" s="47">
        <f ca="1">GetValue($C19,  AE1, "P", $V$2)</f>
        <v>48</v>
      </c>
      <c r="J19" s="48"/>
      <c r="K19" s="47">
        <f ca="1">GetValue($C19,  AG1, "P", $V$2)</f>
        <v>95</v>
      </c>
      <c r="L19" s="49"/>
      <c r="M19" s="50">
        <f t="shared" ca="1" si="0"/>
        <v>79.850000000000009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88</v>
      </c>
      <c r="F20" s="48"/>
      <c r="G20" s="47">
        <f ca="1">GetValue($C20,  AC1, "R", $V$2)</f>
        <v>76</v>
      </c>
      <c r="H20" s="48"/>
      <c r="I20" s="47">
        <f ca="1">GetValue($C20,  AE1, "R", $V$2)</f>
        <v>100</v>
      </c>
      <c r="J20" s="48"/>
      <c r="K20" s="47">
        <f ca="1">GetValue($C20,  AG1, "R", $V$2)</f>
        <v>100</v>
      </c>
      <c r="L20" s="49"/>
      <c r="M20" s="50">
        <f t="shared" ca="1" si="0"/>
        <v>92.800000000000011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89</v>
      </c>
      <c r="F21" s="48"/>
      <c r="G21" s="47">
        <f ca="1">GetValue($C21,  AC1, "T", $V$2)</f>
        <v>79</v>
      </c>
      <c r="H21" s="48"/>
      <c r="I21" s="47">
        <f ca="1">GetValue($C21,  AE1, "T", $V$2)</f>
        <v>98</v>
      </c>
      <c r="J21" s="48"/>
      <c r="K21" s="47">
        <f ca="1">GetValue($C21,  AG1, "T", $V$2)</f>
        <v>100</v>
      </c>
      <c r="L21" s="49"/>
      <c r="M21" s="50">
        <f t="shared" ca="1" si="0"/>
        <v>93.1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90</v>
      </c>
      <c r="F22" s="48"/>
      <c r="G22" s="47">
        <f ca="1">GetValue($C22,  AC1, "V", $V$2)</f>
        <v>100</v>
      </c>
      <c r="H22" s="48"/>
      <c r="I22" s="47">
        <f ca="1">GetValue($C22,  AE1, "V", $V$2)</f>
        <v>90</v>
      </c>
      <c r="J22" s="48"/>
      <c r="K22" s="47">
        <f ca="1">GetValue($C22,  AG1, "V", $V$2)</f>
        <v>90</v>
      </c>
      <c r="L22" s="49"/>
      <c r="M22" s="50">
        <f t="shared" ca="1" si="0"/>
        <v>92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50</v>
      </c>
      <c r="F23" s="48"/>
      <c r="G23" s="47">
        <f ca="1">GetValue($C23,  AC1, "X", $V$2)</f>
        <v>90</v>
      </c>
      <c r="H23" s="48"/>
      <c r="I23" s="47">
        <f ca="1">GetValue($C23,  AE1, "X", $V$2)</f>
        <v>70</v>
      </c>
      <c r="J23" s="48"/>
      <c r="K23" s="47">
        <f ca="1">GetValue($C23,  AG1, "X", $V$2)</f>
        <v>85</v>
      </c>
      <c r="L23" s="49"/>
      <c r="M23" s="50">
        <f t="shared" ca="1" si="0"/>
        <v>75.25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60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77</v>
      </c>
      <c r="J24" s="47" t="e">
        <f t="shared" ca="1" si="2"/>
        <v>#VALUE!</v>
      </c>
      <c r="K24" s="47">
        <f t="shared" ca="1" si="2"/>
        <v>70</v>
      </c>
      <c r="L24" s="30"/>
      <c r="M24" s="50">
        <f t="shared" ca="1" si="0"/>
        <v>73.75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78.545454545454547</v>
      </c>
      <c r="F26" s="47" t="e">
        <f t="shared" ref="F26:M26" ca="1" si="4">AVERAGE(F14:F24)</f>
        <v>#VALUE!</v>
      </c>
      <c r="G26" s="47">
        <f t="shared" ca="1" si="4"/>
        <v>80.909090909090907</v>
      </c>
      <c r="H26" s="47" t="e">
        <f t="shared" ca="1" si="4"/>
        <v>#VALUE!</v>
      </c>
      <c r="I26" s="47">
        <f t="shared" ca="1" si="4"/>
        <v>84.454545454545453</v>
      </c>
      <c r="J26" s="47" t="e">
        <f t="shared" ca="1" si="4"/>
        <v>#VALUE!</v>
      </c>
      <c r="K26" s="47">
        <f t="shared" ca="1" si="4"/>
        <v>86</v>
      </c>
      <c r="L26" s="47" t="e">
        <f t="shared" si="4"/>
        <v>#DIV/0!</v>
      </c>
      <c r="M26" s="47">
        <f t="shared" ca="1" si="4"/>
        <v>83.104545454545459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0232B-25E2-464B-B049-E4BE02F720E8}">
  <sheetPr codeName="Sheet29"/>
  <dimension ref="B1:AG32"/>
  <sheetViews>
    <sheetView showGridLines="0" topLeftCell="A7" zoomScale="110" zoomScaleNormal="100" workbookViewId="0">
      <selection activeCell="K23" sqref="K23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64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25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Quiñonez García, Estefani Mariela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91</v>
      </c>
      <c r="F14" s="48"/>
      <c r="G14" s="47">
        <f ca="1">GetValue($C14,  AC1, "F", $V$2)</f>
        <v>61</v>
      </c>
      <c r="H14" s="48"/>
      <c r="I14" s="47">
        <f ca="1">GetValue($C14,  AE1, "F", $V$2)</f>
        <v>96</v>
      </c>
      <c r="J14" s="48"/>
      <c r="K14" s="47">
        <f ca="1">GetValue($C14,  AG1, "F", $V$2)</f>
        <v>100</v>
      </c>
      <c r="L14" s="49"/>
      <c r="M14" s="50">
        <f ca="1">(K14*0.35)+(I14*0.25)+(G14*0.2)+(E14*0.2)</f>
        <v>89.4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91</v>
      </c>
      <c r="F15" s="48"/>
      <c r="G15" s="47">
        <f ca="1">GetValue($C15,  AC1, "H", $V$2)</f>
        <v>61</v>
      </c>
      <c r="H15" s="48"/>
      <c r="I15" s="47">
        <f ca="1">GetValue($C15,  AE1, "H", $V$2)</f>
        <v>96</v>
      </c>
      <c r="J15" s="48"/>
      <c r="K15" s="47">
        <f ca="1">GetValue($C15,  AG1, "H", $V$2)</f>
        <v>90</v>
      </c>
      <c r="L15" s="49"/>
      <c r="M15" s="50">
        <f t="shared" ref="M15:M24" ca="1" si="0">(K15*0.35)+(I15*0.25)+(G15*0.2)+(E15*0.2)</f>
        <v>85.9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70</v>
      </c>
      <c r="F16" s="48"/>
      <c r="G16" s="47">
        <f ca="1">GetValue($C16,  AC1, "J", $V$2)</f>
        <v>62</v>
      </c>
      <c r="H16" s="48"/>
      <c r="I16" s="47">
        <f ca="1">GetValue($C16,  AE1, "J", $V$2)</f>
        <v>75</v>
      </c>
      <c r="J16" s="48"/>
      <c r="K16" s="47">
        <f ca="1">GetValue($C16,  AG1, "J", $V$2)</f>
        <v>68</v>
      </c>
      <c r="L16" s="49"/>
      <c r="M16" s="50">
        <f t="shared" ca="1" si="0"/>
        <v>68.949999999999989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78</v>
      </c>
      <c r="F17" s="48"/>
      <c r="G17" s="47">
        <f ca="1">GetValue($C17,  AC1, "L", $V$2)</f>
        <v>66</v>
      </c>
      <c r="H17" s="48"/>
      <c r="I17" s="47">
        <f ca="1">GetValue($C17,  AE1, "L", $V$2)</f>
        <v>55</v>
      </c>
      <c r="J17" s="48"/>
      <c r="K17" s="47">
        <f ca="1">GetValue($C17,  AG1, "L", $V$2)</f>
        <v>90</v>
      </c>
      <c r="L17" s="49"/>
      <c r="M17" s="50">
        <f t="shared" ca="1" si="0"/>
        <v>74.050000000000011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69</v>
      </c>
      <c r="F18" s="48"/>
      <c r="G18" s="47">
        <f ca="1">GetValue($C18,  AC1, "N", $V$2)</f>
        <v>60</v>
      </c>
      <c r="H18" s="48"/>
      <c r="I18" s="47">
        <f ca="1">GetValue($C18,  AE1, "N", $V$2)</f>
        <v>86</v>
      </c>
      <c r="J18" s="48"/>
      <c r="K18" s="47">
        <f ca="1">GetValue($C18,  AG1, "N", $V$2)</f>
        <v>74</v>
      </c>
      <c r="L18" s="49"/>
      <c r="M18" s="50">
        <f t="shared" ca="1" si="0"/>
        <v>73.2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86</v>
      </c>
      <c r="F19" s="48"/>
      <c r="G19" s="47">
        <f ca="1">GetValue($C19,  AC1, "P", $V$2)</f>
        <v>48</v>
      </c>
      <c r="H19" s="48"/>
      <c r="I19" s="47">
        <f ca="1">GetValue($C19,  AE1, "P", $V$2)</f>
        <v>78</v>
      </c>
      <c r="J19" s="48"/>
      <c r="K19" s="47">
        <f ca="1">GetValue($C19,  AG1, "P", $V$2)</f>
        <v>73</v>
      </c>
      <c r="L19" s="49"/>
      <c r="M19" s="50">
        <f t="shared" ca="1" si="0"/>
        <v>71.849999999999994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61</v>
      </c>
      <c r="F20" s="48"/>
      <c r="G20" s="47">
        <f ca="1">GetValue($C20,  AC1, "R", $V$2)</f>
        <v>100</v>
      </c>
      <c r="H20" s="48"/>
      <c r="I20" s="47">
        <f ca="1">GetValue($C20,  AE1, "R", $V$2)</f>
        <v>80</v>
      </c>
      <c r="J20" s="48"/>
      <c r="K20" s="47">
        <f ca="1">GetValue($C20,  AG1, "R", $V$2)</f>
        <v>96</v>
      </c>
      <c r="L20" s="49"/>
      <c r="M20" s="50">
        <f t="shared" ca="1" si="0"/>
        <v>85.8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81</v>
      </c>
      <c r="F21" s="48"/>
      <c r="G21" s="47">
        <f ca="1">GetValue($C21,  AC1, "T", $V$2)</f>
        <v>75</v>
      </c>
      <c r="H21" s="48"/>
      <c r="I21" s="47">
        <f ca="1">GetValue($C21,  AE1, "T", $V$2)</f>
        <v>98</v>
      </c>
      <c r="J21" s="48"/>
      <c r="K21" s="47">
        <f ca="1">GetValue($C21,  AG1, "T", $V$2)</f>
        <v>95</v>
      </c>
      <c r="L21" s="49"/>
      <c r="M21" s="50">
        <f t="shared" ca="1" si="0"/>
        <v>88.95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90</v>
      </c>
      <c r="F22" s="48"/>
      <c r="G22" s="47">
        <f ca="1">GetValue($C22,  AC1, "V", $V$2)</f>
        <v>95</v>
      </c>
      <c r="H22" s="48"/>
      <c r="I22" s="47">
        <f ca="1">GetValue($C22,  AE1, "V", $V$2)</f>
        <v>75</v>
      </c>
      <c r="J22" s="48"/>
      <c r="K22" s="47">
        <f ca="1">GetValue($C22,  AG1, "V", $V$2)</f>
        <v>75</v>
      </c>
      <c r="L22" s="49"/>
      <c r="M22" s="50">
        <f t="shared" ca="1" si="0"/>
        <v>82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78</v>
      </c>
      <c r="F23" s="48"/>
      <c r="G23" s="47">
        <f ca="1">GetValue($C23,  AC1, "X", $V$2)</f>
        <v>80</v>
      </c>
      <c r="H23" s="48"/>
      <c r="I23" s="47">
        <f ca="1">GetValue($C23,  AE1, "X", $V$2)</f>
        <v>98</v>
      </c>
      <c r="J23" s="48"/>
      <c r="K23" s="47">
        <f ca="1">GetValue($C23,  AG1, "X", $V$2)</f>
        <v>50</v>
      </c>
      <c r="L23" s="49"/>
      <c r="M23" s="50">
        <f t="shared" ca="1" si="0"/>
        <v>73.599999999999994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88</v>
      </c>
      <c r="F24" s="47" t="e">
        <f t="shared" ref="F24:K24" ca="1" si="2">GetValue($C24,  AB1, "z", $V$2)</f>
        <v>#VALUE!</v>
      </c>
      <c r="G24" s="47">
        <f t="shared" ca="1" si="2"/>
        <v>80</v>
      </c>
      <c r="H24" s="47" t="e">
        <f t="shared" ca="1" si="2"/>
        <v>#VALUE!</v>
      </c>
      <c r="I24" s="47">
        <f t="shared" ca="1" si="2"/>
        <v>70</v>
      </c>
      <c r="J24" s="47" t="e">
        <f t="shared" ca="1" si="2"/>
        <v>#VALUE!</v>
      </c>
      <c r="K24" s="47">
        <f t="shared" ca="1" si="2"/>
        <v>80</v>
      </c>
      <c r="L24" s="30"/>
      <c r="M24" s="50">
        <f t="shared" ca="1" si="0"/>
        <v>79.099999999999994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80.272727272727266</v>
      </c>
      <c r="F26" s="47" t="e">
        <f t="shared" ref="F26:M26" ca="1" si="4">AVERAGE(F14:F24)</f>
        <v>#VALUE!</v>
      </c>
      <c r="G26" s="47">
        <f t="shared" ca="1" si="4"/>
        <v>71.63636363636364</v>
      </c>
      <c r="H26" s="47" t="e">
        <f t="shared" ca="1" si="4"/>
        <v>#VALUE!</v>
      </c>
      <c r="I26" s="47">
        <f t="shared" ca="1" si="4"/>
        <v>82.454545454545453</v>
      </c>
      <c r="J26" s="47" t="e">
        <f t="shared" ca="1" si="4"/>
        <v>#VALUE!</v>
      </c>
      <c r="K26" s="47">
        <f t="shared" ca="1" si="4"/>
        <v>81</v>
      </c>
      <c r="L26" s="47" t="e">
        <f t="shared" si="4"/>
        <v>#DIV/0!</v>
      </c>
      <c r="M26" s="47">
        <f t="shared" ca="1" si="4"/>
        <v>79.345454545454558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728B-D65C-40CC-8B36-2107F9F81F7B}">
  <sheetPr codeName="Sheet30"/>
  <dimension ref="B1:AG32"/>
  <sheetViews>
    <sheetView showGridLines="0" topLeftCell="C5" zoomScale="111" zoomScaleNormal="100" workbookViewId="0">
      <selection activeCell="I20" sqref="I20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65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26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Reyes Romero, José Ángel Estuardo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96</v>
      </c>
      <c r="F14" s="48"/>
      <c r="G14" s="47">
        <f ca="1">GetValue($C14,  AC1, "F", $V$2)</f>
        <v>82</v>
      </c>
      <c r="H14" s="48"/>
      <c r="I14" s="47">
        <f ca="1">GetValue($C14,  AE1, "F", $V$2)</f>
        <v>89</v>
      </c>
      <c r="J14" s="48"/>
      <c r="K14" s="47">
        <f ca="1">GetValue($C14,  AG1, "F", $V$2)</f>
        <v>100</v>
      </c>
      <c r="L14" s="49"/>
      <c r="M14" s="50">
        <f ca="1">(K14*0.35)+(I14*0.25)+(G14*0.2)+(E14*0.2)</f>
        <v>92.850000000000009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96</v>
      </c>
      <c r="F15" s="48"/>
      <c r="G15" s="47">
        <f ca="1">GetValue($C15,  AC1, "H", $V$2)</f>
        <v>82</v>
      </c>
      <c r="H15" s="48"/>
      <c r="I15" s="47">
        <f ca="1">GetValue($C15,  AE1, "H", $V$2)</f>
        <v>89</v>
      </c>
      <c r="J15" s="48"/>
      <c r="K15" s="47">
        <f ca="1">GetValue($C15,  AG1, "H", $V$2)</f>
        <v>100</v>
      </c>
      <c r="L15" s="49"/>
      <c r="M15" s="50">
        <f t="shared" ref="M15:M24" ca="1" si="0">(K15*0.35)+(I15*0.25)+(G15*0.2)+(E15*0.2)</f>
        <v>92.850000000000009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99</v>
      </c>
      <c r="F16" s="48"/>
      <c r="G16" s="47">
        <f ca="1">GetValue($C16,  AC1, "J", $V$2)</f>
        <v>86.5</v>
      </c>
      <c r="H16" s="48"/>
      <c r="I16" s="47">
        <f ca="1">GetValue($C16,  AE1, "J", $V$2)</f>
        <v>80</v>
      </c>
      <c r="J16" s="48"/>
      <c r="K16" s="47">
        <f ca="1">GetValue($C16,  AG1, "J", $V$2)</f>
        <v>82</v>
      </c>
      <c r="L16" s="49"/>
      <c r="M16" s="50">
        <f t="shared" ca="1" si="0"/>
        <v>85.8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100</v>
      </c>
      <c r="F17" s="48"/>
      <c r="G17" s="47">
        <f ca="1">GetValue($C17,  AC1, "L", $V$2)</f>
        <v>98</v>
      </c>
      <c r="H17" s="48"/>
      <c r="I17" s="47">
        <f ca="1">GetValue($C17,  AE1, "L", $V$2)</f>
        <v>78</v>
      </c>
      <c r="J17" s="48"/>
      <c r="K17" s="47">
        <f ca="1">GetValue($C17,  AG1, "L", $V$2)</f>
        <v>98</v>
      </c>
      <c r="L17" s="49"/>
      <c r="M17" s="50">
        <f t="shared" ca="1" si="0"/>
        <v>93.4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98</v>
      </c>
      <c r="F18" s="48"/>
      <c r="G18" s="47">
        <f ca="1">GetValue($C18,  AC1, "N", $V$2)</f>
        <v>100</v>
      </c>
      <c r="H18" s="48"/>
      <c r="I18" s="47">
        <f ca="1">GetValue($C18,  AE1, "N", $V$2)</f>
        <v>100</v>
      </c>
      <c r="J18" s="48"/>
      <c r="K18" s="47">
        <f ca="1">GetValue($C18,  AG1, "N", $V$2)</f>
        <v>100</v>
      </c>
      <c r="L18" s="49"/>
      <c r="M18" s="50">
        <f t="shared" ca="1" si="0"/>
        <v>99.6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100</v>
      </c>
      <c r="F19" s="48"/>
      <c r="G19" s="47">
        <f ca="1">GetValue($C19,  AC1, "P", $V$2)</f>
        <v>97</v>
      </c>
      <c r="H19" s="48"/>
      <c r="I19" s="47">
        <f ca="1">GetValue($C19,  AE1, "P", $V$2)</f>
        <v>92</v>
      </c>
      <c r="J19" s="48"/>
      <c r="K19" s="47">
        <f ca="1">GetValue($C19,  AG1, "P", $V$2)</f>
        <v>94</v>
      </c>
      <c r="L19" s="49"/>
      <c r="M19" s="50">
        <f t="shared" ca="1" si="0"/>
        <v>95.3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80</v>
      </c>
      <c r="F20" s="48"/>
      <c r="G20" s="47">
        <f ca="1">GetValue($C20,  AC1, "R", $V$2)</f>
        <v>100</v>
      </c>
      <c r="H20" s="48"/>
      <c r="I20" s="47">
        <f ca="1">GetValue($C20,  AE1, "R", $V$2)</f>
        <v>95</v>
      </c>
      <c r="J20" s="48"/>
      <c r="K20" s="47">
        <f ca="1">GetValue($C20,  AG1, "R", $V$2)</f>
        <v>94</v>
      </c>
      <c r="L20" s="49"/>
      <c r="M20" s="50">
        <f t="shared" ca="1" si="0"/>
        <v>92.65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82</v>
      </c>
      <c r="F21" s="48"/>
      <c r="G21" s="47">
        <f ca="1">GetValue($C21,  AC1, "T", $V$2)</f>
        <v>75</v>
      </c>
      <c r="H21" s="48"/>
      <c r="I21" s="47">
        <f ca="1">GetValue($C21,  AE1, "T", $V$2)</f>
        <v>100</v>
      </c>
      <c r="J21" s="48"/>
      <c r="K21" s="47">
        <f ca="1">GetValue($C21,  AG1, "T", $V$2)</f>
        <v>94</v>
      </c>
      <c r="L21" s="49"/>
      <c r="M21" s="50">
        <f t="shared" ca="1" si="0"/>
        <v>89.300000000000011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95</v>
      </c>
      <c r="F22" s="48"/>
      <c r="G22" s="47">
        <f ca="1">GetValue($C22,  AC1, "V", $V$2)</f>
        <v>100</v>
      </c>
      <c r="H22" s="48"/>
      <c r="I22" s="47">
        <f ca="1">GetValue($C22,  AE1, "V", $V$2)</f>
        <v>90</v>
      </c>
      <c r="J22" s="48"/>
      <c r="K22" s="47">
        <f ca="1">GetValue($C22,  AG1, "V", $V$2)</f>
        <v>90</v>
      </c>
      <c r="L22" s="49"/>
      <c r="M22" s="50">
        <f t="shared" ca="1" si="0"/>
        <v>93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99</v>
      </c>
      <c r="F23" s="48"/>
      <c r="G23" s="47">
        <f ca="1">GetValue($C23,  AC1, "X", $V$2)</f>
        <v>80</v>
      </c>
      <c r="H23" s="48"/>
      <c r="I23" s="47">
        <f ca="1">GetValue($C23,  AE1, "X", $V$2)</f>
        <v>88</v>
      </c>
      <c r="J23" s="48"/>
      <c r="K23" s="47">
        <f ca="1">GetValue($C23,  AG1, "X", $V$2)</f>
        <v>95</v>
      </c>
      <c r="L23" s="49"/>
      <c r="M23" s="50">
        <f t="shared" ca="1" si="0"/>
        <v>91.05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85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90</v>
      </c>
      <c r="J24" s="47" t="e">
        <f t="shared" ca="1" si="2"/>
        <v>#VALUE!</v>
      </c>
      <c r="K24" s="47">
        <f t="shared" ca="1" si="2"/>
        <v>100</v>
      </c>
      <c r="L24" s="30"/>
      <c r="M24" s="50">
        <f t="shared" ca="1" si="0"/>
        <v>92.5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93.63636363636364</v>
      </c>
      <c r="F26" s="47" t="e">
        <f t="shared" ref="F26:M26" ca="1" si="4">AVERAGE(F14:F24)</f>
        <v>#VALUE!</v>
      </c>
      <c r="G26" s="47">
        <f t="shared" ca="1" si="4"/>
        <v>90.045454545454547</v>
      </c>
      <c r="H26" s="47" t="e">
        <f t="shared" ca="1" si="4"/>
        <v>#VALUE!</v>
      </c>
      <c r="I26" s="47">
        <f t="shared" ca="1" si="4"/>
        <v>90.090909090909093</v>
      </c>
      <c r="J26" s="47" t="e">
        <f t="shared" ca="1" si="4"/>
        <v>#VALUE!</v>
      </c>
      <c r="K26" s="47">
        <f t="shared" ca="1" si="4"/>
        <v>95.181818181818187</v>
      </c>
      <c r="L26" s="47" t="e">
        <f t="shared" si="4"/>
        <v>#DIV/0!</v>
      </c>
      <c r="M26" s="47">
        <f t="shared" ca="1" si="4"/>
        <v>92.572727272727263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238C4-152A-4CD2-84AD-039BF64499A0}">
  <sheetPr codeName="Sheet31"/>
  <dimension ref="B1:AG32"/>
  <sheetViews>
    <sheetView showGridLines="0" topLeftCell="A7" zoomScale="110" zoomScaleNormal="100" workbookViewId="0">
      <selection activeCell="Q30" sqref="Q30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66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27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Tejaxun Gil, Oliver Alexander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84</v>
      </c>
      <c r="F14" s="48"/>
      <c r="G14" s="47">
        <f ca="1">GetValue($C14,  AC1, "F", $V$2)</f>
        <v>42</v>
      </c>
      <c r="H14" s="48"/>
      <c r="I14" s="47">
        <f ca="1">GetValue($C14,  AE1, "F", $V$2)</f>
        <v>0</v>
      </c>
      <c r="J14" s="48"/>
      <c r="K14" s="47">
        <f ca="1">GetValue($C14,  AG1, "F", $V$2)</f>
        <v>0</v>
      </c>
      <c r="L14" s="49"/>
      <c r="M14" s="50">
        <f ca="1">(K14*0.35)+(I14*0.25)+(G14*0.2)+(E14*0.2)</f>
        <v>25.200000000000003</v>
      </c>
      <c r="N14" s="9"/>
      <c r="O14" s="14" t="str">
        <f ca="1">IF(COUNT(M14)&lt;&gt;0, IF((M14)&gt;=60,"A","R"),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84</v>
      </c>
      <c r="F15" s="48"/>
      <c r="G15" s="47">
        <f ca="1">GetValue($C15,  AC1, "H", $V$2)</f>
        <v>42</v>
      </c>
      <c r="H15" s="48"/>
      <c r="I15" s="47">
        <f ca="1">GetValue($C15,  AE1, "H", $V$2)</f>
        <v>0</v>
      </c>
      <c r="J15" s="48"/>
      <c r="K15" s="47">
        <f ca="1">GetValue($C15,  AG1, "H", $V$2)</f>
        <v>0</v>
      </c>
      <c r="L15" s="49"/>
      <c r="M15" s="50">
        <f t="shared" ref="M15:M23" ca="1" si="0">(K15*0.35)+(I15*0.25)+(G15*0.2)+(E15*0.2)</f>
        <v>25.200000000000003</v>
      </c>
      <c r="N15" s="9"/>
      <c r="O15" s="14" t="str">
        <f t="shared" ref="O15:O23" ca="1" si="1">IF(COUNT(M15)&lt;&gt;0, IF((M15)&gt;=60,"A","R"),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48</v>
      </c>
      <c r="F16" s="48"/>
      <c r="G16" s="47">
        <f ca="1">GetValue($C16,  AC1, "J", $V$2)</f>
        <v>50</v>
      </c>
      <c r="H16" s="48"/>
      <c r="I16" s="47">
        <f ca="1">GetValue($C16,  AE1, "J", $V$2)</f>
        <v>10</v>
      </c>
      <c r="J16" s="48"/>
      <c r="K16" s="47">
        <f ca="1">GetValue($C16,  AG1, "J", $V$2)</f>
        <v>0</v>
      </c>
      <c r="L16" s="49"/>
      <c r="M16" s="50">
        <f t="shared" ca="1" si="0"/>
        <v>22.1</v>
      </c>
      <c r="N16" s="9"/>
      <c r="O16" s="14" t="str">
        <f t="shared" ca="1" si="1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79</v>
      </c>
      <c r="F17" s="48"/>
      <c r="G17" s="47">
        <f ca="1">GetValue($C17,  AC1, "L", $V$2)</f>
        <v>78</v>
      </c>
      <c r="H17" s="48"/>
      <c r="I17" s="47">
        <f ca="1">GetValue($C17,  AE1, "L", $V$2)</f>
        <v>52</v>
      </c>
      <c r="J17" s="48"/>
      <c r="K17" s="47">
        <f ca="1">GetValue($C17,  AG1, "L", $V$2)</f>
        <v>0</v>
      </c>
      <c r="L17" s="49"/>
      <c r="M17" s="50">
        <f t="shared" ca="1" si="0"/>
        <v>44.400000000000006</v>
      </c>
      <c r="N17" s="9"/>
      <c r="O17" s="14" t="str">
        <f t="shared" ca="1" si="1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45</v>
      </c>
      <c r="F18" s="48"/>
      <c r="G18" s="47">
        <f ca="1">GetValue($C18,  AC1, "N", $V$2)</f>
        <v>39</v>
      </c>
      <c r="H18" s="48"/>
      <c r="I18" s="47">
        <f ca="1">GetValue($C18,  AE1, "N", $V$2)</f>
        <v>11</v>
      </c>
      <c r="J18" s="48"/>
      <c r="K18" s="47">
        <f ca="1">GetValue($C18,  AG1, "N", $V$2)</f>
        <v>0</v>
      </c>
      <c r="L18" s="49"/>
      <c r="M18" s="50">
        <f t="shared" ca="1" si="0"/>
        <v>19.55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61</v>
      </c>
      <c r="F19" s="48"/>
      <c r="G19" s="47">
        <f ca="1">GetValue($C19,  AC1, "P", $V$2)</f>
        <v>18</v>
      </c>
      <c r="H19" s="48"/>
      <c r="I19" s="47">
        <f ca="1">GetValue($C19,  AE1, "P", $V$2)</f>
        <v>64</v>
      </c>
      <c r="J19" s="48"/>
      <c r="K19" s="47">
        <f ca="1">GetValue($C19,  AG1, "P", $V$2)</f>
        <v>0</v>
      </c>
      <c r="L19" s="49"/>
      <c r="M19" s="50">
        <f t="shared" ca="1" si="0"/>
        <v>31.800000000000004</v>
      </c>
      <c r="N19" s="9"/>
      <c r="O19" s="14" t="str">
        <f t="shared" ca="1" si="1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79</v>
      </c>
      <c r="F20" s="48"/>
      <c r="G20" s="47">
        <f ca="1">GetValue($C20,  AC1, "R", $V$2)</f>
        <v>100</v>
      </c>
      <c r="H20" s="48"/>
      <c r="I20" s="47">
        <f ca="1">GetValue($C20,  AE1, "R", $V$2)</f>
        <v>0</v>
      </c>
      <c r="J20" s="48"/>
      <c r="K20" s="47">
        <f ca="1">GetValue($C20,  AG1, "R", $V$2)</f>
        <v>0</v>
      </c>
      <c r="L20" s="49"/>
      <c r="M20" s="50">
        <f t="shared" ca="1" si="0"/>
        <v>35.799999999999997</v>
      </c>
      <c r="N20" s="9"/>
      <c r="O20" s="14" t="str">
        <f t="shared" ca="1" si="1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90</v>
      </c>
      <c r="F21" s="48"/>
      <c r="G21" s="47">
        <f ca="1">GetValue($C21,  AC1, "T", $V$2)</f>
        <v>79</v>
      </c>
      <c r="H21" s="48"/>
      <c r="I21" s="47">
        <f ca="1">GetValue($C21,  AE1, "T", $V$2)</f>
        <v>0</v>
      </c>
      <c r="J21" s="48"/>
      <c r="K21" s="47">
        <f ca="1">GetValue($C21,  AG1, "T", $V$2)</f>
        <v>0</v>
      </c>
      <c r="L21" s="49"/>
      <c r="M21" s="50">
        <f t="shared" ca="1" si="0"/>
        <v>33.799999999999997</v>
      </c>
      <c r="N21" s="9"/>
      <c r="O21" s="14" t="str">
        <f t="shared" ca="1" si="1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0</v>
      </c>
      <c r="F22" s="48"/>
      <c r="G22" s="47">
        <f ca="1">GetValue($C22,  AC1, "V", $V$2)</f>
        <v>90</v>
      </c>
      <c r="H22" s="48"/>
      <c r="I22" s="47">
        <f ca="1">GetValue($C22,  AE1, "V", $V$2)</f>
        <v>0</v>
      </c>
      <c r="J22" s="48"/>
      <c r="K22" s="47">
        <f ca="1">GetValue($C22,  AG1, "V", $V$2)</f>
        <v>0</v>
      </c>
      <c r="L22" s="49"/>
      <c r="M22" s="50">
        <f t="shared" ca="1" si="0"/>
        <v>18</v>
      </c>
      <c r="N22" s="9"/>
      <c r="O22" s="14" t="str">
        <f t="shared" ca="1" si="1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60</v>
      </c>
      <c r="F23" s="48"/>
      <c r="G23" s="47">
        <f ca="1">GetValue($C23,  AC1, "X", $V$2)</f>
        <v>90</v>
      </c>
      <c r="H23" s="48"/>
      <c r="I23" s="47">
        <f ca="1">GetValue($C23,  AE1, "X", $V$2)</f>
        <v>40</v>
      </c>
      <c r="J23" s="48"/>
      <c r="K23" s="47">
        <f ca="1">GetValue($C23,  AG1, "X", $V$2)</f>
        <v>0</v>
      </c>
      <c r="L23" s="49"/>
      <c r="M23" s="50">
        <f t="shared" ca="1" si="0"/>
        <v>40</v>
      </c>
      <c r="N23" s="9"/>
      <c r="O23" s="14" t="str">
        <f t="shared" ca="1" si="1"/>
        <v>R</v>
      </c>
      <c r="P23" s="9"/>
    </row>
    <row r="24" spans="2:16" hidden="1" x14ac:dyDescent="0.3">
      <c r="B24" s="9"/>
      <c r="C24" s="13">
        <f>'Datos Generales'!C36</f>
        <v>0</v>
      </c>
      <c r="D24" s="9"/>
      <c r="E24" s="16" t="str">
        <f>IF(('Unidad 1'!AJ5)=0," ",'Unidad 1'!AJ5)</f>
        <v xml:space="preserve"> </v>
      </c>
      <c r="F24" s="29"/>
      <c r="G24" s="16" t="e">
        <f>IF((#REF!)=0," ",#REF!)</f>
        <v>#REF!</v>
      </c>
      <c r="H24" s="29"/>
      <c r="I24" s="16" t="e">
        <f>IF((#REF!)=0," ",#REF!)</f>
        <v>#REF!</v>
      </c>
      <c r="J24" s="29"/>
      <c r="K24" s="16" t="e">
        <f>IF((#REF!)=0," ",#REF!)</f>
        <v>#REF!</v>
      </c>
      <c r="L24" s="30"/>
      <c r="M24" s="16" t="e">
        <f t="shared" ref="M24" si="2">IF((SUM(E24:K24)/4)=0, " ",SUM(E24:K24)/4)</f>
        <v>#REF!</v>
      </c>
      <c r="N24" s="9"/>
      <c r="O24" s="14" t="e">
        <f t="shared" ref="O24" si="3">IF((M24)&gt;=70,"A","R")</f>
        <v>#REF!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16">
        <f ca="1">AVERAGE(E14:E23)</f>
        <v>63</v>
      </c>
      <c r="G26" s="16">
        <f ca="1">AVERAGE(G14:G23)</f>
        <v>62.8</v>
      </c>
      <c r="I26" s="16">
        <f ca="1">AVERAGE(I14:I23)</f>
        <v>17.7</v>
      </c>
      <c r="K26" s="16">
        <f ca="1">AVERAGE(K14:K23)</f>
        <v>0</v>
      </c>
      <c r="M26" s="16">
        <f ca="1">AVERAGE(M14:M23)</f>
        <v>29.585000000000001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17DCE-755E-494F-9D6D-0BAC15305823}">
  <sheetPr codeName="Sheet32"/>
  <dimension ref="B1:AG32"/>
  <sheetViews>
    <sheetView showGridLines="0" topLeftCell="A7" zoomScale="110" zoomScaleNormal="100" workbookViewId="0">
      <selection activeCell="I19" sqref="I19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67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28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Tubac Paniagua, Walter Saúl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85</v>
      </c>
      <c r="F14" s="48"/>
      <c r="G14" s="47">
        <f ca="1">GetValue($C14,  AC1, "F", $V$2)</f>
        <v>54</v>
      </c>
      <c r="H14" s="48"/>
      <c r="I14" s="47">
        <f ca="1">GetValue($C14,  AE1, "F", $V$2)</f>
        <v>84</v>
      </c>
      <c r="J14" s="48"/>
      <c r="K14" s="47">
        <f ca="1">GetValue($C14,  AG1, "F", $V$2)</f>
        <v>85</v>
      </c>
      <c r="L14" s="49"/>
      <c r="M14" s="50">
        <f ca="1">(K14*0.35)+(I14*0.25)+(G14*0.2)+(E14*0.2)</f>
        <v>78.55</v>
      </c>
      <c r="N14" s="9"/>
      <c r="O14" s="14" t="str">
        <f ca="1">IF(COUNT(M14)&lt;&gt;0, IF((M14)&gt;=60,"A","R"), "")</f>
        <v>A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85</v>
      </c>
      <c r="F15" s="48"/>
      <c r="G15" s="47">
        <f ca="1">GetValue($C15,  AC1, "H", $V$2)</f>
        <v>54</v>
      </c>
      <c r="H15" s="48"/>
      <c r="I15" s="47">
        <f ca="1">GetValue($C15,  AE1, "H", $V$2)</f>
        <v>84</v>
      </c>
      <c r="J15" s="48"/>
      <c r="K15" s="47">
        <f ca="1">GetValue($C15,  AG1, "H", $V$2)</f>
        <v>89</v>
      </c>
      <c r="L15" s="49"/>
      <c r="M15" s="50">
        <f t="shared" ref="M15:M24" ca="1" si="0">(K15*0.35)+(I15*0.25)+(G15*0.2)+(E15*0.2)</f>
        <v>79.95</v>
      </c>
      <c r="N15" s="9"/>
      <c r="O15" s="14" t="str">
        <f t="shared" ref="O15:O23" ca="1" si="1">IF(COUNT(M15)&lt;&gt;0, IF((M15)&gt;=60,"A","R"), "")</f>
        <v>A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70</v>
      </c>
      <c r="F16" s="48"/>
      <c r="G16" s="47">
        <f ca="1">GetValue($C16,  AC1, "J", $V$2)</f>
        <v>74</v>
      </c>
      <c r="H16" s="48"/>
      <c r="I16" s="47">
        <f ca="1">GetValue($C16,  AE1, "J", $V$2)</f>
        <v>78</v>
      </c>
      <c r="J16" s="48"/>
      <c r="K16" s="47">
        <f ca="1">GetValue($C16,  AG1, "J", $V$2)</f>
        <v>72</v>
      </c>
      <c r="L16" s="49"/>
      <c r="M16" s="50">
        <f t="shared" ca="1" si="0"/>
        <v>73.5</v>
      </c>
      <c r="N16" s="9"/>
      <c r="O16" s="14" t="str">
        <f t="shared" ca="1" si="1"/>
        <v>A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80</v>
      </c>
      <c r="F17" s="48"/>
      <c r="G17" s="47">
        <f ca="1">GetValue($C17,  AC1, "L", $V$2)</f>
        <v>67</v>
      </c>
      <c r="H17" s="48"/>
      <c r="I17" s="47">
        <f ca="1">GetValue($C17,  AE1, "L", $V$2)</f>
        <v>72</v>
      </c>
      <c r="J17" s="48"/>
      <c r="K17" s="47">
        <f ca="1">GetValue($C17,  AG1, "L", $V$2)</f>
        <v>90</v>
      </c>
      <c r="L17" s="49"/>
      <c r="M17" s="50">
        <f t="shared" ca="1" si="0"/>
        <v>78.900000000000006</v>
      </c>
      <c r="N17" s="9"/>
      <c r="O17" s="14" t="str">
        <f t="shared" ca="1" si="1"/>
        <v>A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68</v>
      </c>
      <c r="F18" s="48"/>
      <c r="G18" s="47">
        <f ca="1">GetValue($C18,  AC1, "N", $V$2)</f>
        <v>79</v>
      </c>
      <c r="H18" s="48"/>
      <c r="I18" s="47">
        <f ca="1">GetValue($C18,  AE1, "N", $V$2)</f>
        <v>84</v>
      </c>
      <c r="J18" s="48"/>
      <c r="K18" s="47">
        <f ca="1">GetValue($C18,  AG1, "N", $V$2)</f>
        <v>100</v>
      </c>
      <c r="L18" s="49"/>
      <c r="M18" s="50">
        <f t="shared" ca="1" si="0"/>
        <v>85.4</v>
      </c>
      <c r="N18" s="9"/>
      <c r="O18" s="14" t="str">
        <f t="shared" ca="1" si="1"/>
        <v>A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51</v>
      </c>
      <c r="F19" s="48"/>
      <c r="G19" s="47">
        <f ca="1">GetValue($C19,  AC1, "P", $V$2)</f>
        <v>70</v>
      </c>
      <c r="H19" s="48"/>
      <c r="I19" s="47">
        <f ca="1">GetValue($C19,  AE1, "P", $V$2)</f>
        <v>70</v>
      </c>
      <c r="J19" s="48"/>
      <c r="K19" s="47">
        <f ca="1">GetValue($C19,  AG1, "P", $V$2)</f>
        <v>75</v>
      </c>
      <c r="L19" s="49"/>
      <c r="M19" s="50">
        <f t="shared" ca="1" si="0"/>
        <v>67.95</v>
      </c>
      <c r="N19" s="9"/>
      <c r="O19" s="14" t="str">
        <f t="shared" ca="1" si="1"/>
        <v>A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67</v>
      </c>
      <c r="F20" s="48"/>
      <c r="G20" s="47">
        <f ca="1">GetValue($C20,  AC1, "R", $V$2)</f>
        <v>100</v>
      </c>
      <c r="H20" s="48"/>
      <c r="I20" s="47">
        <f ca="1">GetValue($C20,  AE1, "R", $V$2)</f>
        <v>98</v>
      </c>
      <c r="J20" s="48"/>
      <c r="K20" s="47">
        <f ca="1">GetValue($C20,  AG1, "R", $V$2)</f>
        <v>96</v>
      </c>
      <c r="L20" s="49"/>
      <c r="M20" s="50">
        <f t="shared" ca="1" si="0"/>
        <v>91.5</v>
      </c>
      <c r="N20" s="9"/>
      <c r="O20" s="14" t="str">
        <f t="shared" ca="1" si="1"/>
        <v>A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75</v>
      </c>
      <c r="F21" s="48"/>
      <c r="G21" s="47">
        <f ca="1">GetValue($C21,  AC1, "T", $V$2)</f>
        <v>78</v>
      </c>
      <c r="H21" s="48"/>
      <c r="I21" s="47">
        <f ca="1">GetValue($C21,  AE1, "T", $V$2)</f>
        <v>98</v>
      </c>
      <c r="J21" s="48"/>
      <c r="K21" s="47">
        <f ca="1">GetValue($C21,  AG1, "T", $V$2)</f>
        <v>96</v>
      </c>
      <c r="L21" s="49"/>
      <c r="M21" s="50">
        <f t="shared" ca="1" si="0"/>
        <v>88.699999999999989</v>
      </c>
      <c r="N21" s="9"/>
      <c r="O21" s="14" t="str">
        <f t="shared" ca="1" si="1"/>
        <v>A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75</v>
      </c>
      <c r="F22" s="48"/>
      <c r="G22" s="47">
        <f ca="1">GetValue($C22,  AC1, "V", $V$2)</f>
        <v>95</v>
      </c>
      <c r="H22" s="48"/>
      <c r="I22" s="47">
        <f ca="1">GetValue($C22,  AE1, "V", $V$2)</f>
        <v>85</v>
      </c>
      <c r="J22" s="48"/>
      <c r="K22" s="47">
        <f ca="1">GetValue($C22,  AG1, "V", $V$2)</f>
        <v>85</v>
      </c>
      <c r="L22" s="49"/>
      <c r="M22" s="50">
        <f t="shared" ca="1" si="0"/>
        <v>85</v>
      </c>
      <c r="N22" s="9"/>
      <c r="O22" s="14" t="str">
        <f t="shared" ca="1" si="1"/>
        <v>A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74</v>
      </c>
      <c r="F23" s="48"/>
      <c r="G23" s="47">
        <f ca="1">GetValue($C23,  AC1, "X", $V$2)</f>
        <v>80</v>
      </c>
      <c r="H23" s="48"/>
      <c r="I23" s="47">
        <f ca="1">GetValue($C23,  AE1, "X", $V$2)</f>
        <v>81</v>
      </c>
      <c r="J23" s="48"/>
      <c r="K23" s="47">
        <f ca="1">GetValue($C23,  AG1, "X", $V$2)</f>
        <v>64</v>
      </c>
      <c r="L23" s="49"/>
      <c r="M23" s="50">
        <f t="shared" ca="1" si="0"/>
        <v>73.45</v>
      </c>
      <c r="N23" s="9"/>
      <c r="O23" s="14" t="str">
        <f t="shared" ca="1" si="1"/>
        <v>A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100</v>
      </c>
      <c r="F24" s="47" t="e">
        <f t="shared" ref="F24:K24" ca="1" si="2">GetValue($C24,  AB1, "z", $V$2)</f>
        <v>#VALUE!</v>
      </c>
      <c r="G24" s="47">
        <f t="shared" ca="1" si="2"/>
        <v>90</v>
      </c>
      <c r="H24" s="47" t="e">
        <f t="shared" ca="1" si="2"/>
        <v>#VALUE!</v>
      </c>
      <c r="I24" s="47">
        <f t="shared" ca="1" si="2"/>
        <v>100</v>
      </c>
      <c r="J24" s="47" t="e">
        <f t="shared" ca="1" si="2"/>
        <v>#VALUE!</v>
      </c>
      <c r="K24" s="47">
        <f t="shared" ca="1" si="2"/>
        <v>100</v>
      </c>
      <c r="L24" s="30"/>
      <c r="M24" s="50">
        <f t="shared" ca="1" si="0"/>
        <v>98</v>
      </c>
      <c r="N24" s="9"/>
      <c r="O24" s="14" t="str">
        <f t="shared" ref="O24" ca="1" si="3">IF((M24)&gt;=70,"A","R")</f>
        <v>A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47">
        <f ca="1">AVERAGE(E14:E24)</f>
        <v>75.454545454545453</v>
      </c>
      <c r="F26" s="47" t="e">
        <f t="shared" ref="F26:M26" ca="1" si="4">AVERAGE(F14:F24)</f>
        <v>#VALUE!</v>
      </c>
      <c r="G26" s="47">
        <f t="shared" ca="1" si="4"/>
        <v>76.454545454545453</v>
      </c>
      <c r="H26" s="47" t="e">
        <f t="shared" ca="1" si="4"/>
        <v>#VALUE!</v>
      </c>
      <c r="I26" s="47">
        <f t="shared" ca="1" si="4"/>
        <v>84.909090909090907</v>
      </c>
      <c r="J26" s="47" t="e">
        <f t="shared" ca="1" si="4"/>
        <v>#VALUE!</v>
      </c>
      <c r="K26" s="47">
        <f t="shared" ca="1" si="4"/>
        <v>86.545454545454547</v>
      </c>
      <c r="L26" s="47" t="e">
        <f t="shared" si="4"/>
        <v>#DIV/0!</v>
      </c>
      <c r="M26" s="47">
        <f t="shared" ca="1" si="4"/>
        <v>81.900000000000006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4D9-79A7-4C77-AE4C-F41605B07CD8}">
  <sheetPr codeName="Sheet33"/>
  <dimension ref="B1:AG32"/>
  <sheetViews>
    <sheetView showGridLines="0" topLeftCell="A65" zoomScale="110" zoomScaleNormal="100" workbookViewId="0">
      <selection activeCell="T17" sqref="T17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68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29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 t="str">
        <f ca="1">GetName($V$1)</f>
        <v>López Magarín, Esaú César Armando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77</v>
      </c>
      <c r="F14" s="48"/>
      <c r="G14" s="47">
        <f ca="1">GetValue($C14,  AC1, "F", $V$2)</f>
        <v>12</v>
      </c>
      <c r="H14" s="48"/>
      <c r="I14" s="47">
        <f ca="1">GetValue($C14,  AE1, "F", $V$2)</f>
        <v>0</v>
      </c>
      <c r="J14" s="48"/>
      <c r="K14" s="47">
        <f ca="1">GetValue($C14,  AG1, "F", $V$2)</f>
        <v>0</v>
      </c>
      <c r="L14" s="49"/>
      <c r="M14" s="50">
        <f ca="1">(K14*0.35)+(I14*0.25)+(G14*0.2)+(E14*0.2)</f>
        <v>17.8</v>
      </c>
      <c r="N14" s="9"/>
      <c r="O14" s="14" t="str">
        <f ca="1">IF(COUNT(M14)&lt;&gt;0, IF((M14)&gt;=60,"A","R"),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77</v>
      </c>
      <c r="F15" s="48"/>
      <c r="G15" s="47">
        <f ca="1">GetValue($C15,  AC1, "H", $V$2)</f>
        <v>12</v>
      </c>
      <c r="H15" s="48"/>
      <c r="I15" s="47">
        <f ca="1">GetValue($C15,  AE1, "H", $V$2)</f>
        <v>0</v>
      </c>
      <c r="J15" s="48"/>
      <c r="K15" s="47">
        <f ca="1">GetValue($C15,  AG1, "H", $V$2)</f>
        <v>0</v>
      </c>
      <c r="L15" s="49"/>
      <c r="M15" s="50">
        <f t="shared" ref="M15:M23" ca="1" si="0">(K15*0.35)+(I15*0.25)+(G15*0.2)+(E15*0.2)</f>
        <v>17.8</v>
      </c>
      <c r="N15" s="9"/>
      <c r="O15" s="14" t="str">
        <f t="shared" ref="O15:O23" ca="1" si="1">IF(COUNT(M15)&lt;&gt;0, IF((M15)&gt;=60,"A","R"),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71</v>
      </c>
      <c r="F16" s="48"/>
      <c r="G16" s="47">
        <f ca="1">GetValue($C16,  AC1, "J", $V$2)</f>
        <v>7</v>
      </c>
      <c r="H16" s="48"/>
      <c r="I16" s="47">
        <f ca="1">GetValue($C16,  AE1, "J", $V$2)</f>
        <v>6</v>
      </c>
      <c r="J16" s="48"/>
      <c r="K16" s="47">
        <f ca="1">GetValue($C16,  AG1, "J", $V$2)</f>
        <v>0</v>
      </c>
      <c r="L16" s="49"/>
      <c r="M16" s="50">
        <f t="shared" ca="1" si="0"/>
        <v>17.100000000000001</v>
      </c>
      <c r="N16" s="9"/>
      <c r="O16" s="14" t="str">
        <f t="shared" ca="1" si="1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67</v>
      </c>
      <c r="F17" s="48"/>
      <c r="G17" s="47">
        <f ca="1">GetValue($C17,  AC1, "L", $V$2)</f>
        <v>24</v>
      </c>
      <c r="H17" s="48"/>
      <c r="I17" s="47">
        <f ca="1">GetValue($C17,  AE1, "L", $V$2)</f>
        <v>5</v>
      </c>
      <c r="J17" s="48"/>
      <c r="K17" s="47">
        <f ca="1">GetValue($C17,  AG1, "L", $V$2)</f>
        <v>0</v>
      </c>
      <c r="L17" s="49"/>
      <c r="M17" s="50">
        <f t="shared" ca="1" si="0"/>
        <v>19.450000000000003</v>
      </c>
      <c r="N17" s="9"/>
      <c r="O17" s="14" t="str">
        <f t="shared" ca="1" si="1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0</v>
      </c>
      <c r="F18" s="48"/>
      <c r="G18" s="47">
        <f ca="1">GetValue($C18,  AC1, "N", $V$2)</f>
        <v>38</v>
      </c>
      <c r="H18" s="48"/>
      <c r="I18" s="47">
        <f ca="1">GetValue($C18,  AE1, "N", $V$2)</f>
        <v>7</v>
      </c>
      <c r="J18" s="48"/>
      <c r="K18" s="47">
        <f ca="1">GetValue($C18,  AG1, "N", $V$2)</f>
        <v>0</v>
      </c>
      <c r="L18" s="49"/>
      <c r="M18" s="50">
        <f t="shared" ca="1" si="0"/>
        <v>9.3500000000000014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48</v>
      </c>
      <c r="F19" s="48"/>
      <c r="G19" s="47">
        <f ca="1">GetValue($C19,  AC1, "P", $V$2)</f>
        <v>26</v>
      </c>
      <c r="H19" s="48"/>
      <c r="I19" s="47">
        <f ca="1">GetValue($C19,  AE1, "P", $V$2)</f>
        <v>0</v>
      </c>
      <c r="J19" s="48"/>
      <c r="K19" s="47">
        <f ca="1">GetValue($C19,  AG1, "P", $V$2)</f>
        <v>0</v>
      </c>
      <c r="L19" s="49"/>
      <c r="M19" s="50">
        <f t="shared" ca="1" si="0"/>
        <v>14.8</v>
      </c>
      <c r="N19" s="9"/>
      <c r="O19" s="14" t="str">
        <f t="shared" ca="1" si="1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77</v>
      </c>
      <c r="F20" s="48"/>
      <c r="G20" s="47">
        <f ca="1">GetValue($C20,  AC1, "R", $V$2)</f>
        <v>80</v>
      </c>
      <c r="H20" s="48"/>
      <c r="I20" s="47">
        <f ca="1">GetValue($C20,  AE1, "R", $V$2)</f>
        <v>50</v>
      </c>
      <c r="J20" s="48"/>
      <c r="K20" s="47">
        <f ca="1">GetValue($C20,  AG1, "R", $V$2)</f>
        <v>0</v>
      </c>
      <c r="L20" s="49"/>
      <c r="M20" s="50">
        <f t="shared" ca="1" si="0"/>
        <v>43.9</v>
      </c>
      <c r="N20" s="9"/>
      <c r="O20" s="14" t="str">
        <f t="shared" ca="1" si="1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77</v>
      </c>
      <c r="F21" s="48"/>
      <c r="G21" s="47">
        <f ca="1">GetValue($C21,  AC1, "T", $V$2)</f>
        <v>68</v>
      </c>
      <c r="H21" s="48"/>
      <c r="I21" s="47">
        <f ca="1">GetValue($C21,  AE1, "T", $V$2)</f>
        <v>54</v>
      </c>
      <c r="J21" s="48"/>
      <c r="K21" s="47">
        <f ca="1">GetValue($C21,  AG1, "T", $V$2)</f>
        <v>0</v>
      </c>
      <c r="L21" s="49"/>
      <c r="M21" s="50">
        <f t="shared" ca="1" si="0"/>
        <v>42.5</v>
      </c>
      <c r="N21" s="9"/>
      <c r="O21" s="14" t="str">
        <f t="shared" ca="1" si="1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0</v>
      </c>
      <c r="F22" s="48"/>
      <c r="G22" s="47">
        <f ca="1">GetValue($C22,  AC1, "V", $V$2)</f>
        <v>30</v>
      </c>
      <c r="H22" s="48"/>
      <c r="I22" s="47">
        <f ca="1">GetValue($C22,  AE1, "V", $V$2)</f>
        <v>0</v>
      </c>
      <c r="J22" s="48"/>
      <c r="K22" s="47">
        <f ca="1">GetValue($C22,  AG1, "V", $V$2)</f>
        <v>0</v>
      </c>
      <c r="L22" s="49"/>
      <c r="M22" s="50">
        <f t="shared" ca="1" si="0"/>
        <v>6</v>
      </c>
      <c r="N22" s="9"/>
      <c r="O22" s="14" t="str">
        <f t="shared" ca="1" si="1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49</v>
      </c>
      <c r="F23" s="48"/>
      <c r="G23" s="47">
        <f ca="1">GetValue($C23,  AC1, "X", $V$2)</f>
        <v>80</v>
      </c>
      <c r="H23" s="48"/>
      <c r="I23" s="47">
        <f ca="1">GetValue($C23,  AE1, "X", $V$2)</f>
        <v>20</v>
      </c>
      <c r="J23" s="48"/>
      <c r="K23" s="47">
        <f ca="1">GetValue($C23,  AG1, "X", $V$2)</f>
        <v>0</v>
      </c>
      <c r="L23" s="49"/>
      <c r="M23" s="50">
        <f t="shared" ca="1" si="0"/>
        <v>30.8</v>
      </c>
      <c r="N23" s="9"/>
      <c r="O23" s="14" t="str">
        <f t="shared" ca="1" si="1"/>
        <v>R</v>
      </c>
      <c r="P23" s="9"/>
    </row>
    <row r="24" spans="2:16" hidden="1" x14ac:dyDescent="0.3">
      <c r="B24" s="9"/>
      <c r="C24" s="13">
        <f>'Datos Generales'!C36</f>
        <v>0</v>
      </c>
      <c r="D24" s="9"/>
      <c r="E24" s="16" t="str">
        <f>IF(('Unidad 1'!AJ5)=0," ",'Unidad 1'!AJ5)</f>
        <v xml:space="preserve"> </v>
      </c>
      <c r="F24" s="29"/>
      <c r="G24" s="16" t="e">
        <f>IF((#REF!)=0," ",#REF!)</f>
        <v>#REF!</v>
      </c>
      <c r="H24" s="29"/>
      <c r="I24" s="16" t="e">
        <f>IF((#REF!)=0," ",#REF!)</f>
        <v>#REF!</v>
      </c>
      <c r="J24" s="29"/>
      <c r="K24" s="16" t="e">
        <f>IF((#REF!)=0," ",#REF!)</f>
        <v>#REF!</v>
      </c>
      <c r="L24" s="30"/>
      <c r="M24" s="16" t="e">
        <f t="shared" ref="M24" si="2">IF((SUM(E24:K24)/4)=0, " ",SUM(E24:K24)/4)</f>
        <v>#REF!</v>
      </c>
      <c r="N24" s="9"/>
      <c r="O24" s="14" t="e">
        <f t="shared" ref="O24" si="3">IF((M24)&gt;=70,"A","R")</f>
        <v>#REF!</v>
      </c>
      <c r="P24" s="9"/>
    </row>
    <row r="25" spans="2:16" ht="8.1" customHeight="1" x14ac:dyDescent="0.3">
      <c r="B25" s="9"/>
      <c r="C25" s="9"/>
      <c r="D25" s="9"/>
      <c r="E25" s="29"/>
      <c r="F25" s="29"/>
      <c r="G25" s="29"/>
      <c r="H25" s="29"/>
      <c r="I25" s="29"/>
      <c r="J25" s="29"/>
      <c r="K25" s="29"/>
      <c r="L25" s="29"/>
      <c r="M25" s="29"/>
      <c r="N25" s="9"/>
      <c r="O25" s="9"/>
      <c r="P25" s="9"/>
    </row>
    <row r="26" spans="2:16" s="27" customFormat="1" x14ac:dyDescent="0.3">
      <c r="C26" s="16" t="str">
        <f>'Datos Generales'!C97</f>
        <v>Promedio de Unidad</v>
      </c>
      <c r="E26" s="16">
        <f ca="1">AVERAGE(E14:E23)</f>
        <v>54.3</v>
      </c>
      <c r="G26" s="16">
        <f ca="1">AVERAGE(G14:G23)</f>
        <v>37.700000000000003</v>
      </c>
      <c r="I26" s="16">
        <f ca="1">AVERAGE(I14:I23)</f>
        <v>14.2</v>
      </c>
      <c r="K26" s="16">
        <f ca="1">AVERAGE(K14:K23)</f>
        <v>0</v>
      </c>
      <c r="M26" s="16">
        <f ca="1">AVERAGE(M14:M23)</f>
        <v>21.95</v>
      </c>
    </row>
    <row r="29" spans="2:16" x14ac:dyDescent="0.3">
      <c r="G29" s="119" t="s">
        <v>12</v>
      </c>
      <c r="H29" s="119"/>
      <c r="I29" s="119"/>
    </row>
    <row r="30" spans="2:16" x14ac:dyDescent="0.3">
      <c r="G30" s="119" t="str">
        <f>'Datos Generales'!C98</f>
        <v>Firma Maestro Guia</v>
      </c>
      <c r="H30" s="119"/>
      <c r="I30" s="119"/>
    </row>
    <row r="32" spans="2:16" x14ac:dyDescent="0.3">
      <c r="M32" s="28"/>
    </row>
  </sheetData>
  <mergeCells count="7">
    <mergeCell ref="G30:I30"/>
    <mergeCell ref="E1:M1"/>
    <mergeCell ref="D2:I2"/>
    <mergeCell ref="D4:I4"/>
    <mergeCell ref="D5:I5"/>
    <mergeCell ref="E10:K10"/>
    <mergeCell ref="G29:I29"/>
  </mergeCells>
  <pageMargins left="0.70866141732283472" right="0.70866141732283472" top="0.74803149606299213" bottom="0.74803149606299213" header="0.31496062992125984" footer="0.31496062992125984"/>
  <pageSetup scale="80" orientation="portrait" horizontalDpi="4294967294" verticalDpi="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45F7-8064-46E9-B00B-D57D77AE400A}">
  <sheetPr codeName="Sheet34"/>
  <dimension ref="B1:AG37"/>
  <sheetViews>
    <sheetView showGridLines="0" zoomScale="110" zoomScaleNormal="100" workbookViewId="0">
      <selection activeCell="M24" sqref="M24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69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30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5">
        <f ca="1">GetName($V$1)</f>
        <v>0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0</v>
      </c>
      <c r="F14" s="48"/>
      <c r="G14" s="47">
        <f ca="1">GetValue($C14,  AC1, "F", $V$2)</f>
        <v>0</v>
      </c>
      <c r="H14" s="48"/>
      <c r="I14" s="47">
        <f ca="1">GetValue($C14,  AE1, "F", $V$2)</f>
        <v>0</v>
      </c>
      <c r="J14" s="48"/>
      <c r="K14" s="47">
        <f ca="1">GetValue($C14,  AG1, "F", $V$2)</f>
        <v>0</v>
      </c>
      <c r="L14" s="49"/>
      <c r="M14" s="50">
        <f ca="1">(K14*0.35)+(I14*0.25)+(G14*0.2)+(E14*0.2)</f>
        <v>0</v>
      </c>
      <c r="N14" s="9"/>
      <c r="O14" s="14" t="str">
        <f t="shared" ref="O14:O22" ca="1" si="0">IF(COUNT(M14)&lt;&gt;0, IF((M14)&gt;=60,"A","R"),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0</v>
      </c>
      <c r="F15" s="48"/>
      <c r="G15" s="47">
        <f ca="1">GetValue($C15,  AC1, "H", $V$2)</f>
        <v>0</v>
      </c>
      <c r="H15" s="48"/>
      <c r="I15" s="47">
        <f ca="1">GetValue($C15,  AE1, "H", $V$2)</f>
        <v>0</v>
      </c>
      <c r="J15" s="48"/>
      <c r="K15" s="47">
        <f ca="1">GetValue($C15,  AG1, "H", $V$2)</f>
        <v>0</v>
      </c>
      <c r="L15" s="49"/>
      <c r="M15" s="50">
        <f t="shared" ref="M15:M23" ca="1" si="1">(K15*0.35)+(I15*0.25)+(G15*0.2)+(E15*0.2)</f>
        <v>0</v>
      </c>
      <c r="N15" s="9"/>
      <c r="O15" s="14" t="str">
        <f t="shared" ca="1" si="0"/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0</v>
      </c>
      <c r="F16" s="48"/>
      <c r="G16" s="47">
        <f ca="1">GetValue($C16,  AC1, "J", $V$2)</f>
        <v>0</v>
      </c>
      <c r="H16" s="48"/>
      <c r="I16" s="47">
        <f ca="1">GetValue($C16,  AE1, "J", $V$2)</f>
        <v>0</v>
      </c>
      <c r="J16" s="48"/>
      <c r="K16" s="47">
        <f ca="1">GetValue($C16,  AG1, "J", $V$2)</f>
        <v>0</v>
      </c>
      <c r="L16" s="49"/>
      <c r="M16" s="50">
        <f t="shared" ca="1" si="1"/>
        <v>0</v>
      </c>
      <c r="N16" s="9"/>
      <c r="O16" s="14" t="str">
        <f t="shared" ca="1" si="0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0</v>
      </c>
      <c r="F17" s="48"/>
      <c r="G17" s="47">
        <f ca="1">GetValue($C17,  AC1, "L", $V$2)</f>
        <v>0</v>
      </c>
      <c r="H17" s="48"/>
      <c r="I17" s="47">
        <f ca="1">GetValue($C17,  AE1, "L", $V$2)</f>
        <v>0</v>
      </c>
      <c r="J17" s="48"/>
      <c r="K17" s="47">
        <f ca="1">GetValue($C17,  AG1, "L", $V$2)</f>
        <v>0</v>
      </c>
      <c r="L17" s="49"/>
      <c r="M17" s="50">
        <f t="shared" ca="1" si="1"/>
        <v>0</v>
      </c>
      <c r="N17" s="9"/>
      <c r="O17" s="14" t="str">
        <f t="shared" ca="1" si="0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0</v>
      </c>
      <c r="F18" s="48"/>
      <c r="G18" s="47">
        <f ca="1">GetValue($C18,  AC1, "N", $V$2)</f>
        <v>0</v>
      </c>
      <c r="H18" s="48"/>
      <c r="I18" s="47">
        <f ca="1">GetValue($C18,  AE1, "N", $V$2)</f>
        <v>0</v>
      </c>
      <c r="J18" s="48"/>
      <c r="K18" s="47">
        <f ca="1">GetValue($C18,  AG1, "N", $V$2)</f>
        <v>0</v>
      </c>
      <c r="L18" s="49"/>
      <c r="M18" s="50">
        <f t="shared" ca="1" si="1"/>
        <v>0</v>
      </c>
      <c r="N18" s="9"/>
      <c r="O18" s="14" t="str">
        <f t="shared" ca="1" si="0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0</v>
      </c>
      <c r="F19" s="48"/>
      <c r="G19" s="47">
        <f ca="1">GetValue($C19,  AC1, "P", $V$2)</f>
        <v>0</v>
      </c>
      <c r="H19" s="48"/>
      <c r="I19" s="47">
        <f ca="1">GetValue($C19,  AE1, "P", $V$2)</f>
        <v>0</v>
      </c>
      <c r="J19" s="48"/>
      <c r="K19" s="47">
        <f ca="1">GetValue($C19,  AG1, "P", $V$2)</f>
        <v>0</v>
      </c>
      <c r="L19" s="49"/>
      <c r="M19" s="50">
        <f t="shared" ca="1" si="1"/>
        <v>0</v>
      </c>
      <c r="N19" s="9"/>
      <c r="O19" s="14" t="str">
        <f t="shared" ca="1" si="0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0</v>
      </c>
      <c r="F20" s="48"/>
      <c r="G20" s="47">
        <f ca="1">GetValue($C20,  AC1, "R", $V$2)</f>
        <v>0</v>
      </c>
      <c r="H20" s="48"/>
      <c r="I20" s="47">
        <f ca="1">GetValue($C20,  AE1, "R", $V$2)</f>
        <v>0</v>
      </c>
      <c r="J20" s="48"/>
      <c r="K20" s="47">
        <f ca="1">GetValue($C20,  AG1, "R", $V$2)</f>
        <v>0</v>
      </c>
      <c r="L20" s="49"/>
      <c r="M20" s="50">
        <f t="shared" ca="1" si="1"/>
        <v>0</v>
      </c>
      <c r="N20" s="9"/>
      <c r="O20" s="14" t="str">
        <f t="shared" ca="1" si="0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0</v>
      </c>
      <c r="F21" s="48"/>
      <c r="G21" s="47">
        <f ca="1">GetValue($C21,  AC1, "T", $V$2)</f>
        <v>0</v>
      </c>
      <c r="H21" s="48"/>
      <c r="I21" s="47">
        <f ca="1">GetValue($C21,  AE1, "T", $V$2)</f>
        <v>0</v>
      </c>
      <c r="J21" s="48"/>
      <c r="K21" s="47">
        <f ca="1">GetValue($C21,  AG1, "T", $V$2)</f>
        <v>0</v>
      </c>
      <c r="L21" s="49"/>
      <c r="M21" s="50">
        <f t="shared" ca="1" si="1"/>
        <v>0</v>
      </c>
      <c r="N21" s="9"/>
      <c r="O21" s="14" t="str">
        <f t="shared" ca="1" si="0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0</v>
      </c>
      <c r="F22" s="48"/>
      <c r="G22" s="47">
        <f ca="1">GetValue($C22,  AC1, "V", $V$2)</f>
        <v>0</v>
      </c>
      <c r="H22" s="48"/>
      <c r="I22" s="47">
        <f ca="1">GetValue($C22,  AE1, "V", $V$2)</f>
        <v>0</v>
      </c>
      <c r="J22" s="48"/>
      <c r="K22" s="47">
        <f ca="1">GetValue($C22,  AG1, "V", $V$2)</f>
        <v>0</v>
      </c>
      <c r="L22" s="49"/>
      <c r="M22" s="50">
        <f t="shared" ca="1" si="1"/>
        <v>0</v>
      </c>
      <c r="N22" s="9"/>
      <c r="O22" s="14" t="str">
        <f t="shared" ca="1" si="0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0</v>
      </c>
      <c r="F23" s="48"/>
      <c r="G23" s="47">
        <f ca="1">GetValue($C23,  AC1, "X", $V$2)</f>
        <v>0</v>
      </c>
      <c r="H23" s="48"/>
      <c r="I23" s="47">
        <f ca="1">GetValue($C23,  AE1, "X", $V$2)</f>
        <v>0</v>
      </c>
      <c r="J23" s="48"/>
      <c r="K23" s="47">
        <f ca="1">GetValue($C23,  AG1, "X", $V$2)</f>
        <v>0</v>
      </c>
      <c r="L23" s="49"/>
      <c r="M23" s="50">
        <f t="shared" ca="1" si="1"/>
        <v>0</v>
      </c>
      <c r="N23" s="9"/>
      <c r="O23" s="14" t="str">
        <f ca="1">IF(COUNT(M23)&lt;&gt;0, IF((M23)&gt;=60,"A","R"), "")</f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0</v>
      </c>
      <c r="F24" s="48"/>
      <c r="G24" s="47">
        <f ca="1">GetValue($C24,  AC1, "Z", $V$2)</f>
        <v>0</v>
      </c>
      <c r="H24" s="48"/>
      <c r="I24" s="47">
        <f ca="1">GetValue($C24,  AE1, "Z", $V$2)</f>
        <v>0</v>
      </c>
      <c r="J24" s="48"/>
      <c r="K24" s="47">
        <f ca="1">GetValue($C24,  AG1, "Z", $V$2)</f>
        <v>0</v>
      </c>
      <c r="L24" s="49"/>
      <c r="M24" s="50">
        <f t="shared" ref="M24:M28" ca="1" si="2">IF($C24&lt;&gt;"", AVERAGE(E24:K24), "")</f>
        <v>0</v>
      </c>
      <c r="N24" s="9"/>
      <c r="O24" s="14" t="str">
        <f t="shared" ref="O24:O28" ca="1" si="3">IF(COUNT(M24)&lt;&gt;0, IF((M24)&gt;=70,"A","R"), "")</f>
        <v>R</v>
      </c>
      <c r="P24" s="9"/>
    </row>
    <row r="25" spans="2:16" x14ac:dyDescent="0.3">
      <c r="B25" s="9"/>
      <c r="C25" s="13" t="str">
        <f>IF('Datos Generales'!C32&lt;&gt;"", 'Datos Generales'!C32, "")</f>
        <v/>
      </c>
      <c r="D25" s="9"/>
      <c r="E25" s="16" t="str">
        <f ca="1">GetValue($C25,  AA1, "AB", $V$2)</f>
        <v/>
      </c>
      <c r="F25" s="29"/>
      <c r="G25" s="16" t="str">
        <f ca="1">GetValue($C25,  AC1, "AB", $V$2)</f>
        <v/>
      </c>
      <c r="H25" s="29"/>
      <c r="I25" s="16" t="str">
        <f ca="1">GetValue($C25,  AE1, "AB", $V$2)</f>
        <v/>
      </c>
      <c r="J25" s="29"/>
      <c r="K25" s="16" t="str">
        <f ca="1">GetValue($C25,  AG1, "AB", $V$2)</f>
        <v/>
      </c>
      <c r="L25" s="30"/>
      <c r="M25" s="16" t="str">
        <f t="shared" si="2"/>
        <v/>
      </c>
      <c r="N25" s="9"/>
      <c r="O25" s="14" t="str">
        <f t="shared" si="3"/>
        <v/>
      </c>
      <c r="P25" s="9"/>
    </row>
    <row r="26" spans="2:16" x14ac:dyDescent="0.3">
      <c r="B26" s="9"/>
      <c r="C26" s="13" t="str">
        <f>IF('Datos Generales'!C33&lt;&gt;"", 'Datos Generales'!C33, "")</f>
        <v/>
      </c>
      <c r="D26" s="9"/>
      <c r="E26" s="16" t="str">
        <f ca="1">GetValue($C26,  AA1, "AD", $V$2)</f>
        <v/>
      </c>
      <c r="F26" s="29"/>
      <c r="G26" s="16" t="str">
        <f ca="1">GetValue($C26,  AC1, "AD", $V$2)</f>
        <v/>
      </c>
      <c r="H26" s="29"/>
      <c r="I26" s="16" t="str">
        <f ca="1">GetValue($C26,  AE1, "AD", $V$2)</f>
        <v/>
      </c>
      <c r="J26" s="29"/>
      <c r="K26" s="16" t="str">
        <f ca="1">GetValue($C26,  AG1, "AD", $V$2)</f>
        <v/>
      </c>
      <c r="L26" s="30"/>
      <c r="M26" s="16" t="str">
        <f t="shared" si="2"/>
        <v/>
      </c>
      <c r="N26" s="9"/>
      <c r="O26" s="14" t="str">
        <f t="shared" si="3"/>
        <v/>
      </c>
      <c r="P26" s="9"/>
    </row>
    <row r="27" spans="2:16" x14ac:dyDescent="0.3">
      <c r="B27" s="9"/>
      <c r="C27" s="13" t="str">
        <f>IF('Datos Generales'!C34&lt;&gt;"", 'Datos Generales'!C34, "")</f>
        <v/>
      </c>
      <c r="D27" s="9"/>
      <c r="E27" s="16" t="str">
        <f ca="1">GetValue($C27,  AA1, "AF", $V$2)</f>
        <v/>
      </c>
      <c r="F27" s="29"/>
      <c r="G27" s="16" t="str">
        <f ca="1">GetValue($C27,  AC1, "AF", $V$2)</f>
        <v/>
      </c>
      <c r="H27" s="29"/>
      <c r="I27" s="16" t="str">
        <f ca="1">GetValue($C27,  AE1, "AF", $V$2)</f>
        <v/>
      </c>
      <c r="J27" s="29"/>
      <c r="K27" s="16" t="str">
        <f ca="1">GetValue($C27,  AG1, "AF", $V$2)</f>
        <v/>
      </c>
      <c r="L27" s="30"/>
      <c r="M27" s="16" t="str">
        <f t="shared" si="2"/>
        <v/>
      </c>
      <c r="N27" s="9"/>
      <c r="O27" s="14" t="str">
        <f t="shared" si="3"/>
        <v/>
      </c>
      <c r="P27" s="9"/>
    </row>
    <row r="28" spans="2:16" x14ac:dyDescent="0.3">
      <c r="B28" s="9"/>
      <c r="C28" s="13" t="str">
        <f>IF('Datos Generales'!C35&lt;&gt;"", 'Datos Generales'!C35, "")</f>
        <v/>
      </c>
      <c r="D28" s="9"/>
      <c r="E28" s="16" t="str">
        <f ca="1">GetValue($C28,  AA1, "AH", $V$2)</f>
        <v/>
      </c>
      <c r="F28" s="29"/>
      <c r="G28" s="16" t="str">
        <f ca="1">GetValue($C28,  AC1, "AH", $V$2)</f>
        <v/>
      </c>
      <c r="H28" s="29"/>
      <c r="I28" s="16" t="str">
        <f ca="1">GetValue($C28,  AE1, "AH", $V$2)</f>
        <v/>
      </c>
      <c r="J28" s="29"/>
      <c r="K28" s="16" t="str">
        <f ca="1">GetValue($C28,  AG1, "AH", $V$2)</f>
        <v/>
      </c>
      <c r="L28" s="30"/>
      <c r="M28" s="16" t="str">
        <f t="shared" si="2"/>
        <v/>
      </c>
      <c r="N28" s="9"/>
      <c r="O28" s="14" t="str">
        <f t="shared" si="3"/>
        <v/>
      </c>
      <c r="P28" s="9"/>
    </row>
    <row r="29" spans="2:16" hidden="1" x14ac:dyDescent="0.3">
      <c r="B29" s="9"/>
      <c r="C29" s="13">
        <f>'Datos Generales'!C36</f>
        <v>0</v>
      </c>
      <c r="D29" s="9"/>
      <c r="E29" s="16" t="str">
        <f>IF(('Unidad 1'!AJ5)=0," ",'Unidad 1'!AJ5)</f>
        <v xml:space="preserve"> </v>
      </c>
      <c r="F29" s="29"/>
      <c r="G29" s="16" t="e">
        <f>IF((#REF!)=0," ",#REF!)</f>
        <v>#REF!</v>
      </c>
      <c r="H29" s="29"/>
      <c r="I29" s="16" t="e">
        <f>IF((#REF!)=0," ",#REF!)</f>
        <v>#REF!</v>
      </c>
      <c r="J29" s="29"/>
      <c r="K29" s="16" t="e">
        <f>IF((#REF!)=0," ",#REF!)</f>
        <v>#REF!</v>
      </c>
      <c r="L29" s="30"/>
      <c r="M29" s="16" t="e">
        <f t="shared" ref="M29" si="4">IF((SUM(E29:K29)/4)=0, " ",SUM(E29:K29)/4)</f>
        <v>#REF!</v>
      </c>
      <c r="N29" s="9"/>
      <c r="O29" s="14" t="e">
        <f t="shared" ref="O29" si="5">IF((M29)&gt;=70,"A","R")</f>
        <v>#REF!</v>
      </c>
      <c r="P29" s="9"/>
    </row>
    <row r="30" spans="2:16" ht="8.1" customHeight="1" x14ac:dyDescent="0.3">
      <c r="B30" s="9"/>
      <c r="C30" s="9"/>
      <c r="D30" s="9"/>
      <c r="E30" s="29"/>
      <c r="F30" s="29"/>
      <c r="G30" s="29"/>
      <c r="H30" s="29"/>
      <c r="I30" s="29"/>
      <c r="J30" s="29"/>
      <c r="K30" s="29"/>
      <c r="L30" s="29"/>
      <c r="M30" s="29"/>
      <c r="N30" s="9"/>
      <c r="O30" s="9"/>
      <c r="P30" s="9"/>
    </row>
    <row r="31" spans="2:16" s="27" customFormat="1" x14ac:dyDescent="0.3">
      <c r="C31" s="16" t="str">
        <f>'Datos Generales'!C97</f>
        <v>Promedio de Unidad</v>
      </c>
      <c r="E31" s="16">
        <f ca="1">AVERAGE(E14:E28)</f>
        <v>0</v>
      </c>
      <c r="G31" s="16">
        <f ca="1">AVERAGE(G14:G28)</f>
        <v>0</v>
      </c>
      <c r="I31" s="16">
        <f ca="1">AVERAGE(I14:I28)</f>
        <v>0</v>
      </c>
      <c r="K31" s="16">
        <f ca="1">AVERAGE(K14:K28)</f>
        <v>0</v>
      </c>
      <c r="M31" s="16">
        <f ca="1">AVERAGE(M14:M28)</f>
        <v>0</v>
      </c>
    </row>
    <row r="34" spans="7:13" x14ac:dyDescent="0.3">
      <c r="G34" s="119" t="s">
        <v>12</v>
      </c>
      <c r="H34" s="119"/>
      <c r="I34" s="119"/>
    </row>
    <row r="35" spans="7:13" x14ac:dyDescent="0.3">
      <c r="G35" s="119" t="str">
        <f>'Datos Generales'!C98</f>
        <v>Firma Maestro Guia</v>
      </c>
      <c r="H35" s="119"/>
      <c r="I35" s="119"/>
    </row>
    <row r="37" spans="7:13" x14ac:dyDescent="0.3">
      <c r="M37" s="28"/>
    </row>
  </sheetData>
  <mergeCells count="7">
    <mergeCell ref="G35:I35"/>
    <mergeCell ref="E1:M1"/>
    <mergeCell ref="D2:I2"/>
    <mergeCell ref="D4:I4"/>
    <mergeCell ref="D5:I5"/>
    <mergeCell ref="E10:K10"/>
    <mergeCell ref="G34:I34"/>
  </mergeCells>
  <pageMargins left="0.7" right="0.7" top="0.75" bottom="0.75" header="0.3" footer="0.3"/>
  <pageSetup orientation="landscape" horizontalDpi="4294967294" verticalDpi="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405D7-5A19-4401-9098-5C1DD3519BD1}">
  <sheetPr codeName="Sheet35"/>
  <dimension ref="B1:AG37"/>
  <sheetViews>
    <sheetView showGridLines="0" zoomScale="110" zoomScaleNormal="100" workbookViewId="0">
      <selection activeCell="M24" sqref="M24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70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31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6" spans="2:33" x14ac:dyDescent="0.3">
      <c r="E6" s="46"/>
    </row>
    <row r="7" spans="2:33" x14ac:dyDescent="0.3">
      <c r="C7" t="str">
        <f>'Datos Generales'!C86</f>
        <v>Nombre del Alumno(a):</v>
      </c>
      <c r="E7" s="45">
        <f ca="1">GetName($V$1)</f>
        <v>0</v>
      </c>
    </row>
    <row r="8" spans="2:33" x14ac:dyDescent="0.3">
      <c r="C8" t="str">
        <f>'Datos Generales'!C87</f>
        <v>Grado:</v>
      </c>
      <c r="E8" s="46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47">
        <f ca="1">GetValue($C14,  AA1, "F", $V$2)</f>
        <v>0</v>
      </c>
      <c r="F14" s="48"/>
      <c r="G14" s="47">
        <f ca="1">GetValue($C14,  AC1, "F", $V$2)</f>
        <v>0</v>
      </c>
      <c r="H14" s="48"/>
      <c r="I14" s="47">
        <f ca="1">GetValue($C14,  AE1, "F", $V$2)</f>
        <v>0</v>
      </c>
      <c r="J14" s="48"/>
      <c r="K14" s="47">
        <f ca="1">GetValue($C14,  AG1, "F", $V$2)</f>
        <v>0</v>
      </c>
      <c r="L14" s="49"/>
      <c r="M14" s="50">
        <f ca="1">(K14*0.35)+(I14*0.25)+(G14*0.2)+(E14*0.2)</f>
        <v>0</v>
      </c>
      <c r="N14" s="9"/>
      <c r="O14" s="14" t="str">
        <f ca="1">IF(COUNT(M14)&lt;&gt;0, IF((M14)&gt;=60,"A","R"),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47">
        <f ca="1">GetValue($C15,  AA1, "H", $V$2)</f>
        <v>0</v>
      </c>
      <c r="F15" s="48"/>
      <c r="G15" s="47">
        <f ca="1">GetValue($C15,  AC1, "H", $V$2)</f>
        <v>0</v>
      </c>
      <c r="H15" s="48"/>
      <c r="I15" s="47">
        <f ca="1">GetValue($C15,  AE1, "H", $V$2)</f>
        <v>0</v>
      </c>
      <c r="J15" s="48"/>
      <c r="K15" s="47">
        <f ca="1">GetValue($C15,  AG1, "H", $V$2)</f>
        <v>0</v>
      </c>
      <c r="L15" s="49"/>
      <c r="M15" s="50">
        <f t="shared" ref="M15:M23" ca="1" si="0">(K15*0.35)+(I15*0.25)+(G15*0.2)+(E15*0.2)</f>
        <v>0</v>
      </c>
      <c r="N15" s="9"/>
      <c r="O15" s="14" t="str">
        <f t="shared" ref="O15:O23" ca="1" si="1">IF(COUNT(M15)&lt;&gt;0, IF((M15)&gt;=60,"A","R"),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47">
        <f ca="1">GetValue($C16,  AA1, "J", $V$2)</f>
        <v>0</v>
      </c>
      <c r="F16" s="48"/>
      <c r="G16" s="47">
        <f ca="1">GetValue($C16,  AC1, "J", $V$2)</f>
        <v>0</v>
      </c>
      <c r="H16" s="48"/>
      <c r="I16" s="47">
        <f ca="1">GetValue($C16,  AE1, "J", $V$2)</f>
        <v>0</v>
      </c>
      <c r="J16" s="48"/>
      <c r="K16" s="47">
        <f ca="1">GetValue($C16,  AG1, "J", $V$2)</f>
        <v>0</v>
      </c>
      <c r="L16" s="49"/>
      <c r="M16" s="50">
        <f t="shared" ca="1" si="0"/>
        <v>0</v>
      </c>
      <c r="N16" s="9"/>
      <c r="O16" s="14" t="str">
        <f t="shared" ca="1" si="1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47">
        <f ca="1">GetValue($C17,  AA1, "L", $V$2)</f>
        <v>0</v>
      </c>
      <c r="F17" s="48"/>
      <c r="G17" s="47">
        <f ca="1">GetValue($C17,  AC1, "L", $V$2)</f>
        <v>0</v>
      </c>
      <c r="H17" s="48"/>
      <c r="I17" s="47">
        <f ca="1">GetValue($C17,  AE1, "L", $V$2)</f>
        <v>0</v>
      </c>
      <c r="J17" s="48"/>
      <c r="K17" s="47">
        <f ca="1">GetValue($C17,  AG1, "L", $V$2)</f>
        <v>0</v>
      </c>
      <c r="L17" s="49"/>
      <c r="M17" s="50">
        <f t="shared" ca="1" si="0"/>
        <v>0</v>
      </c>
      <c r="N17" s="9"/>
      <c r="O17" s="14" t="str">
        <f t="shared" ca="1" si="1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47">
        <f ca="1">GetValue($C18,  AA1, "N", $V$2)</f>
        <v>0</v>
      </c>
      <c r="F18" s="48"/>
      <c r="G18" s="47">
        <f ca="1">GetValue($C18,  AC1, "N", $V$2)</f>
        <v>0</v>
      </c>
      <c r="H18" s="48"/>
      <c r="I18" s="47">
        <f ca="1">GetValue($C18,  AE1, "N", $V$2)</f>
        <v>0</v>
      </c>
      <c r="J18" s="48"/>
      <c r="K18" s="47">
        <f ca="1">GetValue($C18,  AG1, "N", $V$2)</f>
        <v>0</v>
      </c>
      <c r="L18" s="49"/>
      <c r="M18" s="50">
        <f t="shared" ca="1" si="0"/>
        <v>0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47">
        <f ca="1">GetValue($C19,  AA1, "P", $V$2)</f>
        <v>0</v>
      </c>
      <c r="F19" s="48"/>
      <c r="G19" s="47">
        <f ca="1">GetValue($C19,  AC1, "P", $V$2)</f>
        <v>0</v>
      </c>
      <c r="H19" s="48"/>
      <c r="I19" s="47">
        <f ca="1">GetValue($C19,  AE1, "P", $V$2)</f>
        <v>0</v>
      </c>
      <c r="J19" s="48"/>
      <c r="K19" s="47">
        <f ca="1">GetValue($C19,  AG1, "P", $V$2)</f>
        <v>0</v>
      </c>
      <c r="L19" s="49"/>
      <c r="M19" s="50">
        <f t="shared" ca="1" si="0"/>
        <v>0</v>
      </c>
      <c r="N19" s="9"/>
      <c r="O19" s="14" t="str">
        <f t="shared" ca="1" si="1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47">
        <f ca="1">GetValue($C20,  AA1, "R", $V$2)</f>
        <v>0</v>
      </c>
      <c r="F20" s="48"/>
      <c r="G20" s="47">
        <f ca="1">GetValue($C20,  AC1, "R", $V$2)</f>
        <v>0</v>
      </c>
      <c r="H20" s="48"/>
      <c r="I20" s="47">
        <f ca="1">GetValue($C20,  AE1, "R", $V$2)</f>
        <v>0</v>
      </c>
      <c r="J20" s="48"/>
      <c r="K20" s="47">
        <f ca="1">GetValue($C20,  AG1, "R", $V$2)</f>
        <v>0</v>
      </c>
      <c r="L20" s="49"/>
      <c r="M20" s="50">
        <f t="shared" ca="1" si="0"/>
        <v>0</v>
      </c>
      <c r="N20" s="9"/>
      <c r="O20" s="14" t="str">
        <f t="shared" ca="1" si="1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47">
        <f ca="1">GetValue($C21,  AA1, "T", $V$2)</f>
        <v>0</v>
      </c>
      <c r="F21" s="48"/>
      <c r="G21" s="47">
        <f ca="1">GetValue($C21,  AC1, "T", $V$2)</f>
        <v>0</v>
      </c>
      <c r="H21" s="48"/>
      <c r="I21" s="47">
        <f ca="1">GetValue($C21,  AE1, "T", $V$2)</f>
        <v>0</v>
      </c>
      <c r="J21" s="48"/>
      <c r="K21" s="47">
        <f ca="1">GetValue($C21,  AG1, "T", $V$2)</f>
        <v>0</v>
      </c>
      <c r="L21" s="49"/>
      <c r="M21" s="50">
        <f t="shared" ca="1" si="0"/>
        <v>0</v>
      </c>
      <c r="N21" s="9"/>
      <c r="O21" s="14" t="str">
        <f t="shared" ca="1" si="1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47">
        <f ca="1">GetValue($C22,  AA1, "V", $V$2)</f>
        <v>0</v>
      </c>
      <c r="F22" s="48"/>
      <c r="G22" s="47">
        <f ca="1">GetValue($C22,  AC1, "V", $V$2)</f>
        <v>0</v>
      </c>
      <c r="H22" s="48"/>
      <c r="I22" s="47">
        <f ca="1">GetValue($C22,  AE1, "V", $V$2)</f>
        <v>0</v>
      </c>
      <c r="J22" s="48"/>
      <c r="K22" s="47">
        <f ca="1">GetValue($C22,  AG1, "V", $V$2)</f>
        <v>0</v>
      </c>
      <c r="L22" s="49"/>
      <c r="M22" s="50">
        <f t="shared" ca="1" si="0"/>
        <v>0</v>
      </c>
      <c r="N22" s="9"/>
      <c r="O22" s="14" t="str">
        <f t="shared" ca="1" si="1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47">
        <f ca="1">GetValue($C23,  AA1, "X", $V$2)</f>
        <v>0</v>
      </c>
      <c r="F23" s="48"/>
      <c r="G23" s="47">
        <f ca="1">GetValue($C23,  AC1, "X", $V$2)</f>
        <v>0</v>
      </c>
      <c r="H23" s="48"/>
      <c r="I23" s="47">
        <f ca="1">GetValue($C23,  AE1, "X", $V$2)</f>
        <v>0</v>
      </c>
      <c r="J23" s="48"/>
      <c r="K23" s="47">
        <f ca="1">GetValue($C23,  AG1, "X", $V$2)</f>
        <v>0</v>
      </c>
      <c r="L23" s="49"/>
      <c r="M23" s="50">
        <f t="shared" ca="1" si="0"/>
        <v>0</v>
      </c>
      <c r="N23" s="9"/>
      <c r="O23" s="14" t="str">
        <f t="shared" ca="1" si="1"/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47">
        <f ca="1">GetValue($C24,  AA1, "Z", $V$2)</f>
        <v>0</v>
      </c>
      <c r="F24" s="48"/>
      <c r="G24" s="47">
        <f ca="1">GetValue($C24,  AC1, "Z", $V$2)</f>
        <v>0</v>
      </c>
      <c r="H24" s="48"/>
      <c r="I24" s="47">
        <f ca="1">GetValue($C24,  AE1, "Z", $V$2)</f>
        <v>0</v>
      </c>
      <c r="J24" s="48"/>
      <c r="K24" s="47">
        <f ca="1">GetValue($C24,  AG1, "Z", $V$2)</f>
        <v>0</v>
      </c>
      <c r="L24" s="49"/>
      <c r="M24" s="50">
        <f t="shared" ref="M24:M28" ca="1" si="2">IF($C24&lt;&gt;"", AVERAGE(E24:K24), "")</f>
        <v>0</v>
      </c>
      <c r="N24" s="9"/>
      <c r="O24" s="14" t="str">
        <f t="shared" ref="O24:O28" ca="1" si="3">IF(COUNT(M24)&lt;&gt;0, IF((M24)&gt;=70,"A","R"), "")</f>
        <v>R</v>
      </c>
      <c r="P24" s="9"/>
    </row>
    <row r="25" spans="2:16" x14ac:dyDescent="0.3">
      <c r="B25" s="9"/>
      <c r="C25" s="13" t="str">
        <f>IF('Datos Generales'!C32&lt;&gt;"", 'Datos Generales'!C32, "")</f>
        <v/>
      </c>
      <c r="D25" s="9"/>
      <c r="E25" s="16" t="str">
        <f ca="1">GetValue($C25,  AA1, "AB", $V$2)</f>
        <v/>
      </c>
      <c r="F25" s="29"/>
      <c r="G25" s="16" t="str">
        <f ca="1">GetValue($C25,  AC1, "AB", $V$2)</f>
        <v/>
      </c>
      <c r="H25" s="29"/>
      <c r="I25" s="16" t="str">
        <f ca="1">GetValue($C25,  AE1, "AB", $V$2)</f>
        <v/>
      </c>
      <c r="J25" s="29"/>
      <c r="K25" s="16" t="str">
        <f ca="1">GetValue($C25,  AG1, "AB", $V$2)</f>
        <v/>
      </c>
      <c r="L25" s="30"/>
      <c r="M25" s="16" t="str">
        <f t="shared" si="2"/>
        <v/>
      </c>
      <c r="N25" s="9"/>
      <c r="O25" s="14" t="str">
        <f t="shared" si="3"/>
        <v/>
      </c>
      <c r="P25" s="9"/>
    </row>
    <row r="26" spans="2:16" x14ac:dyDescent="0.3">
      <c r="B26" s="9"/>
      <c r="C26" s="13" t="str">
        <f>IF('Datos Generales'!C33&lt;&gt;"", 'Datos Generales'!C33, "")</f>
        <v/>
      </c>
      <c r="D26" s="9"/>
      <c r="E26" s="16" t="str">
        <f ca="1">GetValue($C26,  AA1, "AD", $V$2)</f>
        <v/>
      </c>
      <c r="F26" s="29"/>
      <c r="G26" s="16" t="str">
        <f ca="1">GetValue($C26,  AC1, "AD", $V$2)</f>
        <v/>
      </c>
      <c r="H26" s="29"/>
      <c r="I26" s="16" t="str">
        <f ca="1">GetValue($C26,  AE1, "AD", $V$2)</f>
        <v/>
      </c>
      <c r="J26" s="29"/>
      <c r="K26" s="16" t="str">
        <f ca="1">GetValue($C26,  AG1, "AD", $V$2)</f>
        <v/>
      </c>
      <c r="L26" s="30"/>
      <c r="M26" s="16" t="str">
        <f t="shared" si="2"/>
        <v/>
      </c>
      <c r="N26" s="9"/>
      <c r="O26" s="14" t="str">
        <f t="shared" si="3"/>
        <v/>
      </c>
      <c r="P26" s="9"/>
    </row>
    <row r="27" spans="2:16" x14ac:dyDescent="0.3">
      <c r="B27" s="9"/>
      <c r="C27" s="13" t="str">
        <f>IF('Datos Generales'!C34&lt;&gt;"", 'Datos Generales'!C34, "")</f>
        <v/>
      </c>
      <c r="D27" s="9"/>
      <c r="E27" s="16" t="str">
        <f ca="1">GetValue($C27,  AA1, "AF", $V$2)</f>
        <v/>
      </c>
      <c r="F27" s="29"/>
      <c r="G27" s="16" t="str">
        <f ca="1">GetValue($C27,  AC1, "AF", $V$2)</f>
        <v/>
      </c>
      <c r="H27" s="29"/>
      <c r="I27" s="16" t="str">
        <f ca="1">GetValue($C27,  AE1, "AF", $V$2)</f>
        <v/>
      </c>
      <c r="J27" s="29"/>
      <c r="K27" s="16" t="str">
        <f ca="1">GetValue($C27,  AG1, "AF", $V$2)</f>
        <v/>
      </c>
      <c r="L27" s="30"/>
      <c r="M27" s="16" t="str">
        <f t="shared" si="2"/>
        <v/>
      </c>
      <c r="N27" s="9"/>
      <c r="O27" s="14" t="str">
        <f t="shared" si="3"/>
        <v/>
      </c>
      <c r="P27" s="9"/>
    </row>
    <row r="28" spans="2:16" x14ac:dyDescent="0.3">
      <c r="B28" s="9"/>
      <c r="C28" s="13" t="str">
        <f>IF('Datos Generales'!C35&lt;&gt;"", 'Datos Generales'!C35, "")</f>
        <v/>
      </c>
      <c r="D28" s="9"/>
      <c r="E28" s="16" t="str">
        <f ca="1">GetValue($C28,  AA1, "AH", $V$2)</f>
        <v/>
      </c>
      <c r="F28" s="29"/>
      <c r="G28" s="16" t="str">
        <f ca="1">GetValue($C28,  AC1, "AH", $V$2)</f>
        <v/>
      </c>
      <c r="H28" s="29"/>
      <c r="I28" s="16" t="str">
        <f ca="1">GetValue($C28,  AE1, "AH", $V$2)</f>
        <v/>
      </c>
      <c r="J28" s="29"/>
      <c r="K28" s="16" t="str">
        <f ca="1">GetValue($C28,  AG1, "AH", $V$2)</f>
        <v/>
      </c>
      <c r="L28" s="30"/>
      <c r="M28" s="16" t="str">
        <f t="shared" si="2"/>
        <v/>
      </c>
      <c r="N28" s="9"/>
      <c r="O28" s="14" t="str">
        <f t="shared" si="3"/>
        <v/>
      </c>
      <c r="P28" s="9"/>
    </row>
    <row r="29" spans="2:16" hidden="1" x14ac:dyDescent="0.3">
      <c r="B29" s="9"/>
      <c r="C29" s="13">
        <f>'Datos Generales'!C36</f>
        <v>0</v>
      </c>
      <c r="D29" s="9"/>
      <c r="E29" s="16" t="str">
        <f>IF(('Unidad 1'!AJ5)=0," ",'Unidad 1'!AJ5)</f>
        <v xml:space="preserve"> </v>
      </c>
      <c r="F29" s="29"/>
      <c r="G29" s="16" t="e">
        <f>IF((#REF!)=0," ",#REF!)</f>
        <v>#REF!</v>
      </c>
      <c r="H29" s="29"/>
      <c r="I29" s="16" t="e">
        <f>IF((#REF!)=0," ",#REF!)</f>
        <v>#REF!</v>
      </c>
      <c r="J29" s="29"/>
      <c r="K29" s="16" t="e">
        <f>IF((#REF!)=0," ",#REF!)</f>
        <v>#REF!</v>
      </c>
      <c r="L29" s="30"/>
      <c r="M29" s="16" t="e">
        <f t="shared" ref="M29" si="4">IF((SUM(E29:K29)/4)=0, " ",SUM(E29:K29)/4)</f>
        <v>#REF!</v>
      </c>
      <c r="N29" s="9"/>
      <c r="O29" s="14" t="e">
        <f t="shared" ref="O29" si="5">IF((M29)&gt;=70,"A","R")</f>
        <v>#REF!</v>
      </c>
      <c r="P29" s="9"/>
    </row>
    <row r="30" spans="2:16" ht="8.1" customHeight="1" x14ac:dyDescent="0.3">
      <c r="B30" s="9"/>
      <c r="C30" s="9"/>
      <c r="D30" s="9"/>
      <c r="E30" s="29"/>
      <c r="F30" s="29"/>
      <c r="G30" s="29"/>
      <c r="H30" s="29"/>
      <c r="I30" s="29"/>
      <c r="J30" s="29"/>
      <c r="K30" s="29"/>
      <c r="L30" s="29"/>
      <c r="M30" s="29"/>
      <c r="N30" s="9"/>
      <c r="O30" s="9"/>
      <c r="P30" s="9"/>
    </row>
    <row r="31" spans="2:16" s="27" customFormat="1" x14ac:dyDescent="0.3">
      <c r="C31" s="16" t="str">
        <f>'Datos Generales'!C97</f>
        <v>Promedio de Unidad</v>
      </c>
      <c r="E31" s="16">
        <f ca="1">AVERAGE(E14:E28)</f>
        <v>0</v>
      </c>
      <c r="G31" s="16">
        <f ca="1">AVERAGE(G14:G28)</f>
        <v>0</v>
      </c>
      <c r="I31" s="16">
        <f ca="1">AVERAGE(I14:I28)</f>
        <v>0</v>
      </c>
      <c r="K31" s="16">
        <f ca="1">AVERAGE(K14:K28)</f>
        <v>0</v>
      </c>
      <c r="M31" s="16">
        <f ca="1">AVERAGE(M14:M28)</f>
        <v>0</v>
      </c>
    </row>
    <row r="34" spans="7:13" x14ac:dyDescent="0.3">
      <c r="G34" s="119" t="s">
        <v>12</v>
      </c>
      <c r="H34" s="119"/>
      <c r="I34" s="119"/>
    </row>
    <row r="35" spans="7:13" x14ac:dyDescent="0.3">
      <c r="G35" s="119" t="str">
        <f>'Datos Generales'!C98</f>
        <v>Firma Maestro Guia</v>
      </c>
      <c r="H35" s="119"/>
      <c r="I35" s="119"/>
    </row>
    <row r="37" spans="7:13" x14ac:dyDescent="0.3">
      <c r="M37" s="28"/>
    </row>
  </sheetData>
  <mergeCells count="7">
    <mergeCell ref="G35:I35"/>
    <mergeCell ref="E1:M1"/>
    <mergeCell ref="D2:I2"/>
    <mergeCell ref="D4:I4"/>
    <mergeCell ref="D5:I5"/>
    <mergeCell ref="E10:K10"/>
    <mergeCell ref="G34:I34"/>
  </mergeCells>
  <pageMargins left="0.7" right="0.7" top="0.75" bottom="0.75" header="0.3" footer="0.3"/>
  <pageSetup orientation="landscape" horizontalDpi="4294967294" verticalDpi="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4EFEF-279D-46C2-8F14-9F4C11B3F6BD}">
  <sheetPr codeName="Sheet36"/>
  <dimension ref="B1:AG37"/>
  <sheetViews>
    <sheetView showGridLines="0" zoomScale="110" zoomScaleNormal="100" workbookViewId="0">
      <selection activeCell="V3" sqref="V3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71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32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2">
        <f ca="1">GetName($V$1)</f>
        <v>0</v>
      </c>
    </row>
    <row r="8" spans="2:33" x14ac:dyDescent="0.3">
      <c r="C8" t="str">
        <f>'Datos Generales'!C87</f>
        <v>Grado:</v>
      </c>
      <c r="E8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16">
        <f ca="1">GetValue($C14,  AA1, "F", $V$2)</f>
        <v>0</v>
      </c>
      <c r="F14" s="29"/>
      <c r="G14" s="16">
        <f ca="1">GetValue($C14,  AC1, "F", $V$2)</f>
        <v>0</v>
      </c>
      <c r="H14" s="29"/>
      <c r="I14" s="16">
        <f ca="1">GetValue($C14,  AE1, "F", $V$2)</f>
        <v>0</v>
      </c>
      <c r="J14" s="29"/>
      <c r="K14" s="16">
        <f ca="1">GetValue($C14,  AG1, "F", $V$2)</f>
        <v>0</v>
      </c>
      <c r="L14" s="30"/>
      <c r="M14" s="16">
        <f ca="1">IF($C14&lt;&gt;"", AVERAGE(E14:K14), "")</f>
        <v>0</v>
      </c>
      <c r="N14" s="9"/>
      <c r="O14" s="14" t="str">
        <f ca="1">IF(COUNT(M14)&lt;&gt;0, IF((M14)&gt;=70,"A","R"),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16">
        <f ca="1">GetValue($C15,  AA1, "H", $V$2)</f>
        <v>0</v>
      </c>
      <c r="F15" s="29"/>
      <c r="G15" s="16">
        <f ca="1">GetValue($C15,  AC1, "H", $V$2)</f>
        <v>0</v>
      </c>
      <c r="H15" s="29"/>
      <c r="I15" s="16">
        <f ca="1">GetValue($C15,  AE1, "H", $V$2)</f>
        <v>0</v>
      </c>
      <c r="J15" s="29"/>
      <c r="K15" s="16">
        <f ca="1">GetValue($C15,  AG1, "H", $V$2)</f>
        <v>0</v>
      </c>
      <c r="L15" s="30"/>
      <c r="M15" s="16">
        <f t="shared" ref="M15:M28" ca="1" si="0">IF($C15&lt;&gt;"", AVERAGE(E15:K15), "")</f>
        <v>0</v>
      </c>
      <c r="N15" s="9"/>
      <c r="O15" s="14" t="str">
        <f t="shared" ref="O15:O28" ca="1" si="1">IF(COUNT(M15)&lt;&gt;0, IF((M15)&gt;=70,"A","R"),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16">
        <f ca="1">GetValue($C16,  AA1, "J", $V$2)</f>
        <v>0</v>
      </c>
      <c r="F16" s="29"/>
      <c r="G16" s="16">
        <f ca="1">GetValue($C16,  AC1, "J", $V$2)</f>
        <v>0</v>
      </c>
      <c r="H16" s="29"/>
      <c r="I16" s="16">
        <f ca="1">GetValue($C16,  AE1, "J", $V$2)</f>
        <v>0</v>
      </c>
      <c r="J16" s="29"/>
      <c r="K16" s="16">
        <f ca="1">GetValue($C16,  AG1, "J", $V$2)</f>
        <v>0</v>
      </c>
      <c r="L16" s="30"/>
      <c r="M16" s="16">
        <f t="shared" ca="1" si="0"/>
        <v>0</v>
      </c>
      <c r="N16" s="9"/>
      <c r="O16" s="14" t="str">
        <f t="shared" ca="1" si="1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16">
        <f ca="1">GetValue($C17,  AA1, "L", $V$2)</f>
        <v>0</v>
      </c>
      <c r="F17" s="29"/>
      <c r="G17" s="16">
        <f ca="1">GetValue($C17,  AC1, "L", $V$2)</f>
        <v>0</v>
      </c>
      <c r="H17" s="29"/>
      <c r="I17" s="16">
        <f ca="1">GetValue($C17,  AE1, "L", $V$2)</f>
        <v>0</v>
      </c>
      <c r="J17" s="29"/>
      <c r="K17" s="16">
        <f ca="1">GetValue($C17,  AG1, "L", $V$2)</f>
        <v>0</v>
      </c>
      <c r="L17" s="30"/>
      <c r="M17" s="16">
        <f t="shared" ca="1" si="0"/>
        <v>0</v>
      </c>
      <c r="N17" s="9"/>
      <c r="O17" s="14" t="str">
        <f t="shared" ca="1" si="1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16">
        <f ca="1">GetValue($C18,  AA1, "N", $V$2)</f>
        <v>0</v>
      </c>
      <c r="F18" s="29"/>
      <c r="G18" s="16">
        <f ca="1">GetValue($C18,  AC1, "N", $V$2)</f>
        <v>0</v>
      </c>
      <c r="H18" s="29"/>
      <c r="I18" s="16">
        <f ca="1">GetValue($C18,  AE1, "N", $V$2)</f>
        <v>0</v>
      </c>
      <c r="J18" s="29"/>
      <c r="K18" s="16">
        <f ca="1">GetValue($C18,  AG1, "N", $V$2)</f>
        <v>0</v>
      </c>
      <c r="L18" s="30"/>
      <c r="M18" s="16">
        <f t="shared" ca="1" si="0"/>
        <v>0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16">
        <f ca="1">GetValue($C19,  AA1, "P", $V$2)</f>
        <v>0</v>
      </c>
      <c r="F19" s="29"/>
      <c r="G19" s="16">
        <f ca="1">GetValue($C19,  AC1, "P", $V$2)</f>
        <v>0</v>
      </c>
      <c r="H19" s="29"/>
      <c r="I19" s="16">
        <f ca="1">GetValue($C19,  AE1, "P", $V$2)</f>
        <v>0</v>
      </c>
      <c r="J19" s="29"/>
      <c r="K19" s="16">
        <f ca="1">GetValue($C19,  AG1, "P", $V$2)</f>
        <v>0</v>
      </c>
      <c r="L19" s="30"/>
      <c r="M19" s="16">
        <f t="shared" ca="1" si="0"/>
        <v>0</v>
      </c>
      <c r="N19" s="9"/>
      <c r="O19" s="14" t="str">
        <f t="shared" ca="1" si="1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16">
        <f ca="1">GetValue($C20,  AA1, "R", $V$2)</f>
        <v>0</v>
      </c>
      <c r="F20" s="29"/>
      <c r="G20" s="16">
        <f ca="1">GetValue($C20,  AC1, "R", $V$2)</f>
        <v>0</v>
      </c>
      <c r="H20" s="29"/>
      <c r="I20" s="16">
        <f ca="1">GetValue($C20,  AE1, "R", $V$2)</f>
        <v>0</v>
      </c>
      <c r="J20" s="29"/>
      <c r="K20" s="16">
        <f ca="1">GetValue($C20,  AG1, "R", $V$2)</f>
        <v>0</v>
      </c>
      <c r="L20" s="30"/>
      <c r="M20" s="16">
        <f t="shared" ca="1" si="0"/>
        <v>0</v>
      </c>
      <c r="N20" s="9"/>
      <c r="O20" s="14" t="str">
        <f t="shared" ca="1" si="1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16">
        <f ca="1">GetValue($C21,  AA1, "T", $V$2)</f>
        <v>0</v>
      </c>
      <c r="F21" s="29"/>
      <c r="G21" s="16">
        <f ca="1">GetValue($C21,  AC1, "T", $V$2)</f>
        <v>0</v>
      </c>
      <c r="H21" s="29"/>
      <c r="I21" s="16">
        <f ca="1">GetValue($C21,  AE1, "T", $V$2)</f>
        <v>0</v>
      </c>
      <c r="J21" s="29"/>
      <c r="K21" s="16">
        <f ca="1">GetValue($C21,  AG1, "T", $V$2)</f>
        <v>0</v>
      </c>
      <c r="L21" s="30"/>
      <c r="M21" s="16">
        <f t="shared" ca="1" si="0"/>
        <v>0</v>
      </c>
      <c r="N21" s="9"/>
      <c r="O21" s="14" t="str">
        <f t="shared" ca="1" si="1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16">
        <f ca="1">GetValue($C22,  AA1, "V", $V$2)</f>
        <v>0</v>
      </c>
      <c r="F22" s="29"/>
      <c r="G22" s="16">
        <f ca="1">GetValue($C22,  AC1, "V", $V$2)</f>
        <v>0</v>
      </c>
      <c r="H22" s="29"/>
      <c r="I22" s="16">
        <f ca="1">GetValue($C22,  AE1, "V", $V$2)</f>
        <v>0</v>
      </c>
      <c r="J22" s="29"/>
      <c r="K22" s="16">
        <f ca="1">GetValue($C22,  AG1, "V", $V$2)</f>
        <v>0</v>
      </c>
      <c r="L22" s="30"/>
      <c r="M22" s="16">
        <f t="shared" ca="1" si="0"/>
        <v>0</v>
      </c>
      <c r="N22" s="9"/>
      <c r="O22" s="14" t="str">
        <f t="shared" ca="1" si="1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16">
        <f ca="1">GetValue($C23,  AA1, "X", $V$2)</f>
        <v>0</v>
      </c>
      <c r="F23" s="29"/>
      <c r="G23" s="16">
        <f ca="1">GetValue($C23,  AC1, "X", $V$2)</f>
        <v>0</v>
      </c>
      <c r="H23" s="29"/>
      <c r="I23" s="16">
        <f ca="1">GetValue($C23,  AE1, "X", $V$2)</f>
        <v>0</v>
      </c>
      <c r="J23" s="29"/>
      <c r="K23" s="16">
        <f ca="1">GetValue($C23,  AG1, "X", $V$2)</f>
        <v>0</v>
      </c>
      <c r="L23" s="30"/>
      <c r="M23" s="16">
        <f t="shared" ca="1" si="0"/>
        <v>0</v>
      </c>
      <c r="N23" s="9"/>
      <c r="O23" s="14" t="str">
        <f t="shared" ca="1" si="1"/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16">
        <f ca="1">GetValue($C24,  AA1, "Z", $V$2)</f>
        <v>0</v>
      </c>
      <c r="F24" s="29"/>
      <c r="G24" s="16">
        <f ca="1">GetValue($C24,  AC1, "Z", $V$2)</f>
        <v>0</v>
      </c>
      <c r="H24" s="29"/>
      <c r="I24" s="16">
        <f ca="1">GetValue($C24,  AE1, "Z", $V$2)</f>
        <v>0</v>
      </c>
      <c r="J24" s="29"/>
      <c r="K24" s="16">
        <f ca="1">GetValue($C24,  AG1, "Z", $V$2)</f>
        <v>0</v>
      </c>
      <c r="L24" s="30"/>
      <c r="M24" s="16">
        <f t="shared" ca="1" si="0"/>
        <v>0</v>
      </c>
      <c r="N24" s="9"/>
      <c r="O24" s="14" t="str">
        <f t="shared" ca="1" si="1"/>
        <v>R</v>
      </c>
      <c r="P24" s="9"/>
    </row>
    <row r="25" spans="2:16" x14ac:dyDescent="0.3">
      <c r="B25" s="9"/>
      <c r="C25" s="13" t="str">
        <f>IF('Datos Generales'!C32&lt;&gt;"", 'Datos Generales'!C32, "")</f>
        <v/>
      </c>
      <c r="D25" s="9"/>
      <c r="E25" s="16" t="str">
        <f ca="1">GetValue($C25,  AA1, "AB", $V$2)</f>
        <v/>
      </c>
      <c r="F25" s="29"/>
      <c r="G25" s="16" t="str">
        <f ca="1">GetValue($C25,  AC1, "AB", $V$2)</f>
        <v/>
      </c>
      <c r="H25" s="29"/>
      <c r="I25" s="16" t="str">
        <f ca="1">GetValue($C25,  AE1, "AB", $V$2)</f>
        <v/>
      </c>
      <c r="J25" s="29"/>
      <c r="K25" s="16" t="str">
        <f ca="1">GetValue($C25,  AG1, "AB", $V$2)</f>
        <v/>
      </c>
      <c r="L25" s="30"/>
      <c r="M25" s="16" t="str">
        <f t="shared" si="0"/>
        <v/>
      </c>
      <c r="N25" s="9"/>
      <c r="O25" s="14" t="str">
        <f t="shared" si="1"/>
        <v/>
      </c>
      <c r="P25" s="9"/>
    </row>
    <row r="26" spans="2:16" x14ac:dyDescent="0.3">
      <c r="B26" s="9"/>
      <c r="C26" s="13" t="str">
        <f>IF('Datos Generales'!C33&lt;&gt;"", 'Datos Generales'!C33, "")</f>
        <v/>
      </c>
      <c r="D26" s="9"/>
      <c r="E26" s="16" t="str">
        <f ca="1">GetValue($C26,  AA1, "AD", $V$2)</f>
        <v/>
      </c>
      <c r="F26" s="29"/>
      <c r="G26" s="16" t="str">
        <f ca="1">GetValue($C26,  AC1, "AD", $V$2)</f>
        <v/>
      </c>
      <c r="H26" s="29"/>
      <c r="I26" s="16" t="str">
        <f ca="1">GetValue($C26,  AE1, "AD", $V$2)</f>
        <v/>
      </c>
      <c r="J26" s="29"/>
      <c r="K26" s="16" t="str">
        <f ca="1">GetValue($C26,  AG1, "AD", $V$2)</f>
        <v/>
      </c>
      <c r="L26" s="30"/>
      <c r="M26" s="16" t="str">
        <f t="shared" si="0"/>
        <v/>
      </c>
      <c r="N26" s="9"/>
      <c r="O26" s="14" t="str">
        <f t="shared" si="1"/>
        <v/>
      </c>
      <c r="P26" s="9"/>
    </row>
    <row r="27" spans="2:16" x14ac:dyDescent="0.3">
      <c r="B27" s="9"/>
      <c r="C27" s="13" t="str">
        <f>IF('Datos Generales'!C34&lt;&gt;"", 'Datos Generales'!C34, "")</f>
        <v/>
      </c>
      <c r="D27" s="9"/>
      <c r="E27" s="16" t="str">
        <f ca="1">GetValue($C27,  AA1, "AF", $V$2)</f>
        <v/>
      </c>
      <c r="F27" s="29"/>
      <c r="G27" s="16" t="str">
        <f ca="1">GetValue($C27,  AC1, "AF", $V$2)</f>
        <v/>
      </c>
      <c r="H27" s="29"/>
      <c r="I27" s="16" t="str">
        <f ca="1">GetValue($C27,  AE1, "AF", $V$2)</f>
        <v/>
      </c>
      <c r="J27" s="29"/>
      <c r="K27" s="16" t="str">
        <f ca="1">GetValue($C27,  AG1, "AF", $V$2)</f>
        <v/>
      </c>
      <c r="L27" s="30"/>
      <c r="M27" s="16" t="str">
        <f t="shared" si="0"/>
        <v/>
      </c>
      <c r="N27" s="9"/>
      <c r="O27" s="14" t="str">
        <f t="shared" si="1"/>
        <v/>
      </c>
      <c r="P27" s="9"/>
    </row>
    <row r="28" spans="2:16" x14ac:dyDescent="0.3">
      <c r="B28" s="9"/>
      <c r="C28" s="13" t="str">
        <f>IF('Datos Generales'!C35&lt;&gt;"", 'Datos Generales'!C35, "")</f>
        <v/>
      </c>
      <c r="D28" s="9"/>
      <c r="E28" s="16" t="str">
        <f ca="1">GetValue($C28,  AA1, "AH", $V$2)</f>
        <v/>
      </c>
      <c r="F28" s="29"/>
      <c r="G28" s="16" t="str">
        <f ca="1">GetValue($C28,  AC1, "AH", $V$2)</f>
        <v/>
      </c>
      <c r="H28" s="29"/>
      <c r="I28" s="16" t="str">
        <f ca="1">GetValue($C28,  AE1, "AH", $V$2)</f>
        <v/>
      </c>
      <c r="J28" s="29"/>
      <c r="K28" s="16" t="str">
        <f ca="1">GetValue($C28,  AG1, "AH", $V$2)</f>
        <v/>
      </c>
      <c r="L28" s="30"/>
      <c r="M28" s="16" t="str">
        <f t="shared" si="0"/>
        <v/>
      </c>
      <c r="N28" s="9"/>
      <c r="O28" s="14" t="str">
        <f t="shared" si="1"/>
        <v/>
      </c>
      <c r="P28" s="9"/>
    </row>
    <row r="29" spans="2:16" hidden="1" x14ac:dyDescent="0.3">
      <c r="B29" s="9"/>
      <c r="C29" s="13">
        <f>'Datos Generales'!C36</f>
        <v>0</v>
      </c>
      <c r="D29" s="9"/>
      <c r="E29" s="16" t="str">
        <f>IF(('Unidad 1'!AJ5)=0," ",'Unidad 1'!AJ5)</f>
        <v xml:space="preserve"> </v>
      </c>
      <c r="F29" s="29"/>
      <c r="G29" s="16" t="e">
        <f>IF((#REF!)=0," ",#REF!)</f>
        <v>#REF!</v>
      </c>
      <c r="H29" s="29"/>
      <c r="I29" s="16" t="e">
        <f>IF((#REF!)=0," ",#REF!)</f>
        <v>#REF!</v>
      </c>
      <c r="J29" s="29"/>
      <c r="K29" s="16" t="e">
        <f>IF((#REF!)=0," ",#REF!)</f>
        <v>#REF!</v>
      </c>
      <c r="L29" s="30"/>
      <c r="M29" s="16" t="e">
        <f t="shared" ref="M29" si="2">IF((SUM(E29:K29)/4)=0, " ",SUM(E29:K29)/4)</f>
        <v>#REF!</v>
      </c>
      <c r="N29" s="9"/>
      <c r="O29" s="14" t="e">
        <f t="shared" ref="O29" si="3">IF((M29)&gt;=70,"A","R")</f>
        <v>#REF!</v>
      </c>
      <c r="P29" s="9"/>
    </row>
    <row r="30" spans="2:16" ht="8.1" customHeight="1" x14ac:dyDescent="0.3">
      <c r="B30" s="9"/>
      <c r="C30" s="9"/>
      <c r="D30" s="9"/>
      <c r="E30" s="29"/>
      <c r="F30" s="29"/>
      <c r="G30" s="29"/>
      <c r="H30" s="29"/>
      <c r="I30" s="29"/>
      <c r="J30" s="29"/>
      <c r="K30" s="29"/>
      <c r="L30" s="29"/>
      <c r="M30" s="29"/>
      <c r="N30" s="9"/>
      <c r="O30" s="9"/>
      <c r="P30" s="9"/>
    </row>
    <row r="31" spans="2:16" s="27" customFormat="1" x14ac:dyDescent="0.3">
      <c r="C31" s="16" t="str">
        <f>'Datos Generales'!C97</f>
        <v>Promedio de Unidad</v>
      </c>
      <c r="E31" s="16">
        <f ca="1">AVERAGE(E14:E28)</f>
        <v>0</v>
      </c>
      <c r="G31" s="16">
        <f ca="1">AVERAGE(G14:G28)</f>
        <v>0</v>
      </c>
      <c r="I31" s="16">
        <f ca="1">AVERAGE(I14:I28)</f>
        <v>0</v>
      </c>
      <c r="K31" s="16">
        <f ca="1">AVERAGE(K14:K28)</f>
        <v>0</v>
      </c>
      <c r="M31" s="16">
        <f ca="1">AVERAGE(M14:M28)</f>
        <v>0</v>
      </c>
    </row>
    <row r="34" spans="7:13" x14ac:dyDescent="0.3">
      <c r="G34" s="119" t="s">
        <v>12</v>
      </c>
      <c r="H34" s="119"/>
      <c r="I34" s="119"/>
    </row>
    <row r="35" spans="7:13" x14ac:dyDescent="0.3">
      <c r="G35" s="119" t="str">
        <f>'Datos Generales'!C98</f>
        <v>Firma Maestro Guia</v>
      </c>
      <c r="H35" s="119"/>
      <c r="I35" s="119"/>
    </row>
    <row r="37" spans="7:13" x14ac:dyDescent="0.3">
      <c r="M37" s="28"/>
    </row>
  </sheetData>
  <mergeCells count="7">
    <mergeCell ref="G35:I35"/>
    <mergeCell ref="E1:M1"/>
    <mergeCell ref="D2:I2"/>
    <mergeCell ref="D4:I4"/>
    <mergeCell ref="D5:I5"/>
    <mergeCell ref="E10:K10"/>
    <mergeCell ref="G34:I34"/>
  </mergeCells>
  <pageMargins left="0.7" right="0.7" top="0.75" bottom="0.75" header="0.3" footer="0.3"/>
  <pageSetup orientation="landscape" horizontalDpi="4294967294" verticalDpi="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44C4D-3E97-41EA-842A-24184CEDFF44}">
  <sheetPr codeName="Sheet37"/>
  <dimension ref="B1:AG37"/>
  <sheetViews>
    <sheetView showGridLines="0" zoomScale="110" zoomScaleNormal="100" workbookViewId="0">
      <selection activeCell="V3" sqref="V3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72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33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2">
        <f ca="1">GetName($V$1)</f>
        <v>0</v>
      </c>
    </row>
    <row r="8" spans="2:33" x14ac:dyDescent="0.3">
      <c r="C8" t="str">
        <f>'Datos Generales'!C87</f>
        <v>Grado:</v>
      </c>
      <c r="E8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16">
        <f ca="1">GetValue($C14,  AA1, "F", $V$2)</f>
        <v>0</v>
      </c>
      <c r="F14" s="29"/>
      <c r="G14" s="16">
        <f ca="1">GetValue($C14,  AC1, "F", $V$2)</f>
        <v>0</v>
      </c>
      <c r="H14" s="29"/>
      <c r="I14" s="16">
        <f ca="1">GetValue($C14,  AE1, "F", $V$2)</f>
        <v>0</v>
      </c>
      <c r="J14" s="29"/>
      <c r="K14" s="16">
        <f ca="1">GetValue($C14,  AG1, "F", $V$2)</f>
        <v>0</v>
      </c>
      <c r="L14" s="30"/>
      <c r="M14" s="16">
        <f ca="1">IF($C14&lt;&gt;"", AVERAGE(E14:K14), "")</f>
        <v>0</v>
      </c>
      <c r="N14" s="9"/>
      <c r="O14" s="14" t="str">
        <f ca="1">IF(COUNT(M14)&lt;&gt;0, IF((M14)&gt;=70,"A","R"),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16">
        <f ca="1">GetValue($C15,  AA1, "H", $V$2)</f>
        <v>0</v>
      </c>
      <c r="F15" s="29"/>
      <c r="G15" s="16">
        <f ca="1">GetValue($C15,  AC1, "H", $V$2)</f>
        <v>0</v>
      </c>
      <c r="H15" s="29"/>
      <c r="I15" s="16">
        <f ca="1">GetValue($C15,  AE1, "H", $V$2)</f>
        <v>0</v>
      </c>
      <c r="J15" s="29"/>
      <c r="K15" s="16">
        <f ca="1">GetValue($C15,  AG1, "H", $V$2)</f>
        <v>0</v>
      </c>
      <c r="L15" s="30"/>
      <c r="M15" s="16">
        <f t="shared" ref="M15:M28" ca="1" si="0">IF($C15&lt;&gt;"", AVERAGE(E15:K15), "")</f>
        <v>0</v>
      </c>
      <c r="N15" s="9"/>
      <c r="O15" s="14" t="str">
        <f t="shared" ref="O15:O28" ca="1" si="1">IF(COUNT(M15)&lt;&gt;0, IF((M15)&gt;=70,"A","R"),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16">
        <f ca="1">GetValue($C16,  AA1, "J", $V$2)</f>
        <v>0</v>
      </c>
      <c r="F16" s="29"/>
      <c r="G16" s="16">
        <f ca="1">GetValue($C16,  AC1, "J", $V$2)</f>
        <v>0</v>
      </c>
      <c r="H16" s="29"/>
      <c r="I16" s="16">
        <f ca="1">GetValue($C16,  AE1, "J", $V$2)</f>
        <v>0</v>
      </c>
      <c r="J16" s="29"/>
      <c r="K16" s="16">
        <f ca="1">GetValue($C16,  AG1, "J", $V$2)</f>
        <v>0</v>
      </c>
      <c r="L16" s="30"/>
      <c r="M16" s="16">
        <f t="shared" ca="1" si="0"/>
        <v>0</v>
      </c>
      <c r="N16" s="9"/>
      <c r="O16" s="14" t="str">
        <f t="shared" ca="1" si="1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16">
        <f ca="1">GetValue($C17,  AA1, "L", $V$2)</f>
        <v>0</v>
      </c>
      <c r="F17" s="29"/>
      <c r="G17" s="16">
        <f ca="1">GetValue($C17,  AC1, "L", $V$2)</f>
        <v>0</v>
      </c>
      <c r="H17" s="29"/>
      <c r="I17" s="16">
        <f ca="1">GetValue($C17,  AE1, "L", $V$2)</f>
        <v>0</v>
      </c>
      <c r="J17" s="29"/>
      <c r="K17" s="16">
        <f ca="1">GetValue($C17,  AG1, "L", $V$2)</f>
        <v>0</v>
      </c>
      <c r="L17" s="30"/>
      <c r="M17" s="16">
        <f t="shared" ca="1" si="0"/>
        <v>0</v>
      </c>
      <c r="N17" s="9"/>
      <c r="O17" s="14" t="str">
        <f t="shared" ca="1" si="1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16">
        <f ca="1">GetValue($C18,  AA1, "N", $V$2)</f>
        <v>0</v>
      </c>
      <c r="F18" s="29"/>
      <c r="G18" s="16">
        <f ca="1">GetValue($C18,  AC1, "N", $V$2)</f>
        <v>0</v>
      </c>
      <c r="H18" s="29"/>
      <c r="I18" s="16">
        <f ca="1">GetValue($C18,  AE1, "N", $V$2)</f>
        <v>0</v>
      </c>
      <c r="J18" s="29"/>
      <c r="K18" s="16">
        <f ca="1">GetValue($C18,  AG1, "N", $V$2)</f>
        <v>0</v>
      </c>
      <c r="L18" s="30"/>
      <c r="M18" s="16">
        <f t="shared" ca="1" si="0"/>
        <v>0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16">
        <f ca="1">GetValue($C19,  AA1, "P", $V$2)</f>
        <v>0</v>
      </c>
      <c r="F19" s="29"/>
      <c r="G19" s="16">
        <f ca="1">GetValue($C19,  AC1, "P", $V$2)</f>
        <v>0</v>
      </c>
      <c r="H19" s="29"/>
      <c r="I19" s="16">
        <f ca="1">GetValue($C19,  AE1, "P", $V$2)</f>
        <v>0</v>
      </c>
      <c r="J19" s="29"/>
      <c r="K19" s="16">
        <f ca="1">GetValue($C19,  AG1, "P", $V$2)</f>
        <v>0</v>
      </c>
      <c r="L19" s="30"/>
      <c r="M19" s="16">
        <f t="shared" ca="1" si="0"/>
        <v>0</v>
      </c>
      <c r="N19" s="9"/>
      <c r="O19" s="14" t="str">
        <f t="shared" ca="1" si="1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16">
        <f ca="1">GetValue($C20,  AA1, "R", $V$2)</f>
        <v>0</v>
      </c>
      <c r="F20" s="29"/>
      <c r="G20" s="16">
        <f ca="1">GetValue($C20,  AC1, "R", $V$2)</f>
        <v>0</v>
      </c>
      <c r="H20" s="29"/>
      <c r="I20" s="16">
        <f ca="1">GetValue($C20,  AE1, "R", $V$2)</f>
        <v>0</v>
      </c>
      <c r="J20" s="29"/>
      <c r="K20" s="16">
        <f ca="1">GetValue($C20,  AG1, "R", $V$2)</f>
        <v>0</v>
      </c>
      <c r="L20" s="30"/>
      <c r="M20" s="16">
        <f t="shared" ca="1" si="0"/>
        <v>0</v>
      </c>
      <c r="N20" s="9"/>
      <c r="O20" s="14" t="str">
        <f t="shared" ca="1" si="1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16">
        <f ca="1">GetValue($C21,  AA1, "T", $V$2)</f>
        <v>0</v>
      </c>
      <c r="F21" s="29"/>
      <c r="G21" s="16">
        <f ca="1">GetValue($C21,  AC1, "T", $V$2)</f>
        <v>0</v>
      </c>
      <c r="H21" s="29"/>
      <c r="I21" s="16">
        <f ca="1">GetValue($C21,  AE1, "T", $V$2)</f>
        <v>0</v>
      </c>
      <c r="J21" s="29"/>
      <c r="K21" s="16">
        <f ca="1">GetValue($C21,  AG1, "T", $V$2)</f>
        <v>0</v>
      </c>
      <c r="L21" s="30"/>
      <c r="M21" s="16">
        <f t="shared" ca="1" si="0"/>
        <v>0</v>
      </c>
      <c r="N21" s="9"/>
      <c r="O21" s="14" t="str">
        <f t="shared" ca="1" si="1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16">
        <f ca="1">GetValue($C22,  AA1, "V", $V$2)</f>
        <v>0</v>
      </c>
      <c r="F22" s="29"/>
      <c r="G22" s="16">
        <f ca="1">GetValue($C22,  AC1, "V", $V$2)</f>
        <v>0</v>
      </c>
      <c r="H22" s="29"/>
      <c r="I22" s="16">
        <f ca="1">GetValue($C22,  AE1, "V", $V$2)</f>
        <v>0</v>
      </c>
      <c r="J22" s="29"/>
      <c r="K22" s="16">
        <f ca="1">GetValue($C22,  AG1, "V", $V$2)</f>
        <v>0</v>
      </c>
      <c r="L22" s="30"/>
      <c r="M22" s="16">
        <f t="shared" ca="1" si="0"/>
        <v>0</v>
      </c>
      <c r="N22" s="9"/>
      <c r="O22" s="14" t="str">
        <f t="shared" ca="1" si="1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16">
        <f ca="1">GetValue($C23,  AA1, "X", $V$2)</f>
        <v>0</v>
      </c>
      <c r="F23" s="29"/>
      <c r="G23" s="16">
        <f ca="1">GetValue($C23,  AC1, "X", $V$2)</f>
        <v>0</v>
      </c>
      <c r="H23" s="29"/>
      <c r="I23" s="16">
        <f ca="1">GetValue($C23,  AE1, "X", $V$2)</f>
        <v>0</v>
      </c>
      <c r="J23" s="29"/>
      <c r="K23" s="16">
        <f ca="1">GetValue($C23,  AG1, "X", $V$2)</f>
        <v>0</v>
      </c>
      <c r="L23" s="30"/>
      <c r="M23" s="16">
        <f t="shared" ca="1" si="0"/>
        <v>0</v>
      </c>
      <c r="N23" s="9"/>
      <c r="O23" s="14" t="str">
        <f t="shared" ca="1" si="1"/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16">
        <f ca="1">GetValue($C24,  AA1, "Z", $V$2)</f>
        <v>0</v>
      </c>
      <c r="F24" s="29"/>
      <c r="G24" s="16">
        <f ca="1">GetValue($C24,  AC1, "Z", $V$2)</f>
        <v>0</v>
      </c>
      <c r="H24" s="29"/>
      <c r="I24" s="16">
        <f ca="1">GetValue($C24,  AE1, "Z", $V$2)</f>
        <v>0</v>
      </c>
      <c r="J24" s="29"/>
      <c r="K24" s="16">
        <f ca="1">GetValue($C24,  AG1, "Z", $V$2)</f>
        <v>0</v>
      </c>
      <c r="L24" s="30"/>
      <c r="M24" s="16">
        <f t="shared" ca="1" si="0"/>
        <v>0</v>
      </c>
      <c r="N24" s="9"/>
      <c r="O24" s="14" t="str">
        <f t="shared" ca="1" si="1"/>
        <v>R</v>
      </c>
      <c r="P24" s="9"/>
    </row>
    <row r="25" spans="2:16" x14ac:dyDescent="0.3">
      <c r="B25" s="9"/>
      <c r="C25" s="13" t="str">
        <f>IF('Datos Generales'!C32&lt;&gt;"", 'Datos Generales'!C32, "")</f>
        <v/>
      </c>
      <c r="D25" s="9"/>
      <c r="E25" s="16" t="str">
        <f ca="1">GetValue($C25,  AA1, "AB", $V$2)</f>
        <v/>
      </c>
      <c r="F25" s="29"/>
      <c r="G25" s="16" t="str">
        <f ca="1">GetValue($C25,  AC1, "AB", $V$2)</f>
        <v/>
      </c>
      <c r="H25" s="29"/>
      <c r="I25" s="16" t="str">
        <f ca="1">GetValue($C25,  AE1, "AB", $V$2)</f>
        <v/>
      </c>
      <c r="J25" s="29"/>
      <c r="K25" s="16" t="str">
        <f ca="1">GetValue($C25,  AG1, "AB", $V$2)</f>
        <v/>
      </c>
      <c r="L25" s="30"/>
      <c r="M25" s="16" t="str">
        <f t="shared" si="0"/>
        <v/>
      </c>
      <c r="N25" s="9"/>
      <c r="O25" s="14" t="str">
        <f t="shared" si="1"/>
        <v/>
      </c>
      <c r="P25" s="9"/>
    </row>
    <row r="26" spans="2:16" x14ac:dyDescent="0.3">
      <c r="B26" s="9"/>
      <c r="C26" s="13" t="str">
        <f>IF('Datos Generales'!C33&lt;&gt;"", 'Datos Generales'!C33, "")</f>
        <v/>
      </c>
      <c r="D26" s="9"/>
      <c r="E26" s="16" t="str">
        <f ca="1">GetValue($C26,  AA1, "AD", $V$2)</f>
        <v/>
      </c>
      <c r="F26" s="29"/>
      <c r="G26" s="16" t="str">
        <f ca="1">GetValue($C26,  AC1, "AD", $V$2)</f>
        <v/>
      </c>
      <c r="H26" s="29"/>
      <c r="I26" s="16" t="str">
        <f ca="1">GetValue($C26,  AE1, "AD", $V$2)</f>
        <v/>
      </c>
      <c r="J26" s="29"/>
      <c r="K26" s="16" t="str">
        <f ca="1">GetValue($C26,  AG1, "AD", $V$2)</f>
        <v/>
      </c>
      <c r="L26" s="30"/>
      <c r="M26" s="16" t="str">
        <f t="shared" si="0"/>
        <v/>
      </c>
      <c r="N26" s="9"/>
      <c r="O26" s="14" t="str">
        <f t="shared" si="1"/>
        <v/>
      </c>
      <c r="P26" s="9"/>
    </row>
    <row r="27" spans="2:16" x14ac:dyDescent="0.3">
      <c r="B27" s="9"/>
      <c r="C27" s="13" t="str">
        <f>IF('Datos Generales'!C34&lt;&gt;"", 'Datos Generales'!C34, "")</f>
        <v/>
      </c>
      <c r="D27" s="9"/>
      <c r="E27" s="16" t="str">
        <f ca="1">GetValue($C27,  AA1, "AF", $V$2)</f>
        <v/>
      </c>
      <c r="F27" s="29"/>
      <c r="G27" s="16" t="str">
        <f ca="1">GetValue($C27,  AC1, "AF", $V$2)</f>
        <v/>
      </c>
      <c r="H27" s="29"/>
      <c r="I27" s="16" t="str">
        <f ca="1">GetValue($C27,  AE1, "AF", $V$2)</f>
        <v/>
      </c>
      <c r="J27" s="29"/>
      <c r="K27" s="16" t="str">
        <f ca="1">GetValue($C27,  AG1, "AF", $V$2)</f>
        <v/>
      </c>
      <c r="L27" s="30"/>
      <c r="M27" s="16" t="str">
        <f t="shared" si="0"/>
        <v/>
      </c>
      <c r="N27" s="9"/>
      <c r="O27" s="14" t="str">
        <f t="shared" si="1"/>
        <v/>
      </c>
      <c r="P27" s="9"/>
    </row>
    <row r="28" spans="2:16" x14ac:dyDescent="0.3">
      <c r="B28" s="9"/>
      <c r="C28" s="13" t="str">
        <f>IF('Datos Generales'!C35&lt;&gt;"", 'Datos Generales'!C35, "")</f>
        <v/>
      </c>
      <c r="D28" s="9"/>
      <c r="E28" s="16" t="str">
        <f ca="1">GetValue($C28,  AA1, "AH", $V$2)</f>
        <v/>
      </c>
      <c r="F28" s="29"/>
      <c r="G28" s="16" t="str">
        <f ca="1">GetValue($C28,  AC1, "AH", $V$2)</f>
        <v/>
      </c>
      <c r="H28" s="29"/>
      <c r="I28" s="16" t="str">
        <f ca="1">GetValue($C28,  AE1, "AH", $V$2)</f>
        <v/>
      </c>
      <c r="J28" s="29"/>
      <c r="K28" s="16" t="str">
        <f ca="1">GetValue($C28,  AG1, "AH", $V$2)</f>
        <v/>
      </c>
      <c r="L28" s="30"/>
      <c r="M28" s="16" t="str">
        <f t="shared" si="0"/>
        <v/>
      </c>
      <c r="N28" s="9"/>
      <c r="O28" s="14" t="str">
        <f t="shared" si="1"/>
        <v/>
      </c>
      <c r="P28" s="9"/>
    </row>
    <row r="29" spans="2:16" hidden="1" x14ac:dyDescent="0.3">
      <c r="B29" s="9"/>
      <c r="C29" s="13">
        <f>'Datos Generales'!C36</f>
        <v>0</v>
      </c>
      <c r="D29" s="9"/>
      <c r="E29" s="16" t="str">
        <f>IF(('Unidad 1'!AJ5)=0," ",'Unidad 1'!AJ5)</f>
        <v xml:space="preserve"> </v>
      </c>
      <c r="F29" s="29"/>
      <c r="G29" s="16" t="e">
        <f>IF((#REF!)=0," ",#REF!)</f>
        <v>#REF!</v>
      </c>
      <c r="H29" s="29"/>
      <c r="I29" s="16" t="e">
        <f>IF((#REF!)=0," ",#REF!)</f>
        <v>#REF!</v>
      </c>
      <c r="J29" s="29"/>
      <c r="K29" s="16" t="e">
        <f>IF((#REF!)=0," ",#REF!)</f>
        <v>#REF!</v>
      </c>
      <c r="L29" s="30"/>
      <c r="M29" s="16" t="e">
        <f t="shared" ref="M29" si="2">IF((SUM(E29:K29)/4)=0, " ",SUM(E29:K29)/4)</f>
        <v>#REF!</v>
      </c>
      <c r="N29" s="9"/>
      <c r="O29" s="14" t="e">
        <f t="shared" ref="O29" si="3">IF((M29)&gt;=70,"A","R")</f>
        <v>#REF!</v>
      </c>
      <c r="P29" s="9"/>
    </row>
    <row r="30" spans="2:16" ht="8.1" customHeight="1" x14ac:dyDescent="0.3">
      <c r="B30" s="9"/>
      <c r="C30" s="9"/>
      <c r="D30" s="9"/>
      <c r="E30" s="29"/>
      <c r="F30" s="29"/>
      <c r="G30" s="29"/>
      <c r="H30" s="29"/>
      <c r="I30" s="29"/>
      <c r="J30" s="29"/>
      <c r="K30" s="29"/>
      <c r="L30" s="29"/>
      <c r="M30" s="29"/>
      <c r="N30" s="9"/>
      <c r="O30" s="9"/>
      <c r="P30" s="9"/>
    </row>
    <row r="31" spans="2:16" s="27" customFormat="1" x14ac:dyDescent="0.3">
      <c r="C31" s="16" t="str">
        <f>'Datos Generales'!C97</f>
        <v>Promedio de Unidad</v>
      </c>
      <c r="E31" s="16">
        <f ca="1">AVERAGE(E14:E28)</f>
        <v>0</v>
      </c>
      <c r="G31" s="16">
        <f ca="1">AVERAGE(G14:G28)</f>
        <v>0</v>
      </c>
      <c r="I31" s="16">
        <f ca="1">AVERAGE(I14:I28)</f>
        <v>0</v>
      </c>
      <c r="K31" s="16">
        <f ca="1">AVERAGE(K14:K28)</f>
        <v>0</v>
      </c>
      <c r="M31" s="16">
        <f ca="1">AVERAGE(M14:M28)</f>
        <v>0</v>
      </c>
    </row>
    <row r="34" spans="7:13" x14ac:dyDescent="0.3">
      <c r="G34" s="119" t="s">
        <v>12</v>
      </c>
      <c r="H34" s="119"/>
      <c r="I34" s="119"/>
    </row>
    <row r="35" spans="7:13" x14ac:dyDescent="0.3">
      <c r="G35" s="119" t="str">
        <f>'Datos Generales'!C98</f>
        <v>Firma Maestro Guia</v>
      </c>
      <c r="H35" s="119"/>
      <c r="I35" s="119"/>
    </row>
    <row r="37" spans="7:13" x14ac:dyDescent="0.3">
      <c r="M37" s="28"/>
    </row>
  </sheetData>
  <mergeCells count="7">
    <mergeCell ref="G35:I35"/>
    <mergeCell ref="E1:M1"/>
    <mergeCell ref="D2:I2"/>
    <mergeCell ref="D4:I4"/>
    <mergeCell ref="D5:I5"/>
    <mergeCell ref="E10:K10"/>
    <mergeCell ref="G34:I34"/>
  </mergeCells>
  <pageMargins left="0.7" right="0.7" top="0.75" bottom="0.75" header="0.3" footer="0.3"/>
  <pageSetup orientation="landscape" horizontalDpi="4294967294" verticalDpi="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B4AC3-48FB-462E-A2C2-4B79CDD1477B}">
  <sheetPr codeName="Sheet38"/>
  <dimension ref="B1:AG37"/>
  <sheetViews>
    <sheetView showGridLines="0" topLeftCell="A22" zoomScale="110" zoomScaleNormal="100" workbookViewId="0">
      <selection activeCell="K9" sqref="K9"/>
    </sheetView>
  </sheetViews>
  <sheetFormatPr baseColWidth="10" defaultColWidth="11.44140625" defaultRowHeight="14.4" x14ac:dyDescent="0.3"/>
  <cols>
    <col min="1" max="1" width="2.6640625" customWidth="1"/>
    <col min="2" max="2" width="0.88671875" customWidth="1"/>
    <col min="3" max="3" width="39.5546875" customWidth="1"/>
    <col min="4" max="4" width="0.88671875" customWidth="1"/>
    <col min="5" max="5" width="11.88671875" bestFit="1" customWidth="1"/>
    <col min="6" max="6" width="0.88671875" customWidth="1"/>
    <col min="8" max="8" width="0.88671875" customWidth="1"/>
    <col min="10" max="10" width="0.88671875" customWidth="1"/>
    <col min="12" max="12" width="1" customWidth="1"/>
    <col min="13" max="13" width="13.88671875" customWidth="1"/>
    <col min="14" max="14" width="0.88671875" customWidth="1"/>
    <col min="15" max="15" width="6.109375" customWidth="1"/>
    <col min="16" max="16" width="0.88671875" customWidth="1"/>
  </cols>
  <sheetData>
    <row r="1" spans="2:33" x14ac:dyDescent="0.3">
      <c r="E1" s="120" t="str">
        <f>'Datos Generales'!C83</f>
        <v>Centro Socioeducativo "Lic. Magno Rudy Romero Arévalo"</v>
      </c>
      <c r="F1" s="120"/>
      <c r="G1" s="120"/>
      <c r="H1" s="120"/>
      <c r="I1" s="120"/>
      <c r="J1" s="120"/>
      <c r="K1" s="120"/>
      <c r="L1" s="120"/>
      <c r="M1" s="120"/>
      <c r="V1">
        <v>73</v>
      </c>
      <c r="AA1">
        <v>1</v>
      </c>
      <c r="AC1">
        <v>2</v>
      </c>
      <c r="AE1">
        <v>3</v>
      </c>
      <c r="AG1">
        <v>4</v>
      </c>
    </row>
    <row r="2" spans="2:33" x14ac:dyDescent="0.3">
      <c r="D2" s="119" t="str">
        <f>'Datos Generales'!C84</f>
        <v>Ciclo Diversificado</v>
      </c>
      <c r="E2" s="119"/>
      <c r="F2" s="119"/>
      <c r="G2" s="119"/>
      <c r="H2" s="119"/>
      <c r="I2" s="119"/>
      <c r="V2">
        <v>34</v>
      </c>
    </row>
    <row r="4" spans="2:33" x14ac:dyDescent="0.3">
      <c r="D4" s="119" t="str">
        <f>'Datos Generales'!C85</f>
        <v>CUADRO DE NOTAS</v>
      </c>
      <c r="E4" s="119"/>
      <c r="F4" s="119"/>
      <c r="G4" s="119"/>
      <c r="H4" s="119"/>
      <c r="I4" s="119"/>
    </row>
    <row r="5" spans="2:33" x14ac:dyDescent="0.3">
      <c r="D5" s="118" t="str">
        <f>'Datos Generales'!D10</f>
        <v>Ciclo Escolar 2026</v>
      </c>
      <c r="E5" s="118"/>
      <c r="F5" s="118"/>
      <c r="G5" s="118"/>
      <c r="H5" s="118"/>
      <c r="I5" s="118"/>
    </row>
    <row r="7" spans="2:33" x14ac:dyDescent="0.3">
      <c r="C7" t="str">
        <f>'Datos Generales'!C86</f>
        <v>Nombre del Alumno(a):</v>
      </c>
      <c r="E7" s="42">
        <f ca="1">GetName($V$1)</f>
        <v>0</v>
      </c>
    </row>
    <row r="8" spans="2:33" x14ac:dyDescent="0.3">
      <c r="C8" t="str">
        <f>'Datos Generales'!C87</f>
        <v>Grado:</v>
      </c>
      <c r="E8" t="str">
        <f>IF('Datos Generales'!D8&lt;&gt;"", 'Datos Generales'!D8, "Grado No Asignado")</f>
        <v>Quinto Bachillerato</v>
      </c>
      <c r="K8" t="str">
        <f>'Datos Generales'!C88</f>
        <v>Sección:</v>
      </c>
      <c r="M8" t="str">
        <f>'Datos Generales'!D9</f>
        <v>"A"</v>
      </c>
      <c r="O8" s="8"/>
    </row>
    <row r="10" spans="2:33" x14ac:dyDescent="0.3">
      <c r="E10" s="121" t="str">
        <f>'Datos Generales'!C90</f>
        <v>Nota Promoción</v>
      </c>
      <c r="F10" s="122"/>
      <c r="G10" s="122"/>
      <c r="H10" s="122"/>
      <c r="I10" s="122"/>
      <c r="J10" s="122"/>
      <c r="K10" s="123"/>
      <c r="L10" s="11"/>
      <c r="M10" s="11"/>
      <c r="N10" s="8"/>
    </row>
    <row r="11" spans="2:33" x14ac:dyDescent="0.3">
      <c r="B11" s="9"/>
      <c r="C11" s="10" t="str">
        <f>'Datos Generales'!C89</f>
        <v>Materia</v>
      </c>
      <c r="D11" s="11"/>
      <c r="E11" s="12" t="str">
        <f>'Datos Generales'!C91</f>
        <v>Unidad 1</v>
      </c>
      <c r="F11" s="11"/>
      <c r="G11" s="12" t="str">
        <f>'Datos Generales'!C92</f>
        <v>Unidad 2</v>
      </c>
      <c r="H11" s="11"/>
      <c r="I11" s="12" t="str">
        <f>'Datos Generales'!C93</f>
        <v>Unidad 3</v>
      </c>
      <c r="J11" s="11"/>
      <c r="K11" s="12" t="str">
        <f>'Datos Generales'!C94</f>
        <v>Unidad 4</v>
      </c>
      <c r="L11" s="11"/>
      <c r="M11" s="10" t="str">
        <f>'Datos Generales'!C95</f>
        <v>Promedio Final</v>
      </c>
      <c r="N11" s="11"/>
      <c r="O11" s="10" t="str">
        <f>'Datos Generales'!C96</f>
        <v>A/R</v>
      </c>
      <c r="P11" s="9"/>
    </row>
    <row r="12" spans="2:33" x14ac:dyDescent="0.3"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</row>
    <row r="13" spans="2:33" ht="8.1" customHeight="1" x14ac:dyDescent="0.3">
      <c r="B13" s="9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9"/>
    </row>
    <row r="14" spans="2:33" x14ac:dyDescent="0.3">
      <c r="B14" s="9"/>
      <c r="C14" s="13" t="str">
        <f>IF('Datos Generales'!C21&lt;&gt;"", 'Datos Generales'!C21, "")</f>
        <v>Lectura</v>
      </c>
      <c r="D14" s="9"/>
      <c r="E14" s="16">
        <f ca="1">GetValue($C14,  AA1, "F", $V$2)</f>
        <v>0</v>
      </c>
      <c r="F14" s="29"/>
      <c r="G14" s="16">
        <f ca="1">GetValue($C14,  AC1, "F", $V$2)</f>
        <v>0</v>
      </c>
      <c r="H14" s="29"/>
      <c r="I14" s="16">
        <f ca="1">GetValue($C14,  AE1, "F", $V$2)</f>
        <v>0</v>
      </c>
      <c r="J14" s="29"/>
      <c r="K14" s="16">
        <f ca="1">GetValue($C14,  AG1, "F", $V$2)</f>
        <v>0</v>
      </c>
      <c r="L14" s="30"/>
      <c r="M14" s="16">
        <f ca="1">IF($C14&lt;&gt;"", AVERAGE(E14:K14), "")</f>
        <v>0</v>
      </c>
      <c r="N14" s="9"/>
      <c r="O14" s="14" t="str">
        <f ca="1">IF(COUNT(M14)&lt;&gt;0, IF((M14)&gt;=70,"A","R"), "")</f>
        <v>R</v>
      </c>
      <c r="P14" s="9"/>
    </row>
    <row r="15" spans="2:33" x14ac:dyDescent="0.3">
      <c r="B15" s="9"/>
      <c r="C15" s="13" t="str">
        <f>IF('Datos Generales'!C22&lt;&gt;"", 'Datos Generales'!C22, "")</f>
        <v>Redacción</v>
      </c>
      <c r="D15" s="9"/>
      <c r="E15" s="16">
        <f ca="1">GetValue($C15,  AA1, "H", $V$2)</f>
        <v>0</v>
      </c>
      <c r="F15" s="29"/>
      <c r="G15" s="16">
        <f ca="1">GetValue($C15,  AC1, "H", $V$2)</f>
        <v>0</v>
      </c>
      <c r="H15" s="29"/>
      <c r="I15" s="16">
        <f ca="1">GetValue($C15,  AE1, "H", $V$2)</f>
        <v>0</v>
      </c>
      <c r="J15" s="29"/>
      <c r="K15" s="16">
        <f ca="1">GetValue($C15,  AG1, "H", $V$2)</f>
        <v>0</v>
      </c>
      <c r="L15" s="30"/>
      <c r="M15" s="16">
        <f t="shared" ref="M15:M28" ca="1" si="0">IF($C15&lt;&gt;"", AVERAGE(E15:K15), "")</f>
        <v>0</v>
      </c>
      <c r="N15" s="9"/>
      <c r="O15" s="14" t="str">
        <f t="shared" ref="O15:O28" ca="1" si="1">IF(COUNT(M15)&lt;&gt;0, IF((M15)&gt;=70,"A","R"), "")</f>
        <v>R</v>
      </c>
      <c r="P15" s="9"/>
    </row>
    <row r="16" spans="2:33" x14ac:dyDescent="0.3">
      <c r="B16" s="9"/>
      <c r="C16" s="13" t="str">
        <f>IF('Datos Generales'!C23&lt;&gt;"", 'Datos Generales'!C23, "")</f>
        <v>Idioma Extranjero Inglés</v>
      </c>
      <c r="D16" s="9"/>
      <c r="E16" s="16">
        <f ca="1">GetValue($C16,  AA1, "J", $V$2)</f>
        <v>0</v>
      </c>
      <c r="F16" s="29"/>
      <c r="G16" s="16">
        <f ca="1">GetValue($C16,  AC1, "J", $V$2)</f>
        <v>0</v>
      </c>
      <c r="H16" s="29"/>
      <c r="I16" s="16">
        <f ca="1">GetValue($C16,  AE1, "J", $V$2)</f>
        <v>0</v>
      </c>
      <c r="J16" s="29"/>
      <c r="K16" s="16">
        <f ca="1">GetValue($C16,  AG1, "J", $V$2)</f>
        <v>0</v>
      </c>
      <c r="L16" s="30"/>
      <c r="M16" s="16">
        <f t="shared" ca="1" si="0"/>
        <v>0</v>
      </c>
      <c r="N16" s="9"/>
      <c r="O16" s="14" t="str">
        <f t="shared" ca="1" si="1"/>
        <v>R</v>
      </c>
      <c r="P16" s="9"/>
    </row>
    <row r="17" spans="2:16" x14ac:dyDescent="0.3">
      <c r="B17" s="9"/>
      <c r="C17" s="13" t="str">
        <f>IF('Datos Generales'!C24&lt;&gt;"", 'Datos Generales'!C24, "")</f>
        <v>Tecnología de Información y Comunicación</v>
      </c>
      <c r="D17" s="9"/>
      <c r="E17" s="16">
        <f ca="1">GetValue($C17,  AA1, "L", $V$2)</f>
        <v>0</v>
      </c>
      <c r="F17" s="29"/>
      <c r="G17" s="16">
        <f ca="1">GetValue($C17,  AC1, "L", $V$2)</f>
        <v>0</v>
      </c>
      <c r="H17" s="29"/>
      <c r="I17" s="16">
        <f ca="1">GetValue($C17,  AE1, "L", $V$2)</f>
        <v>0</v>
      </c>
      <c r="J17" s="29"/>
      <c r="K17" s="16">
        <f ca="1">GetValue($C17,  AG1, "L", $V$2)</f>
        <v>0</v>
      </c>
      <c r="L17" s="30"/>
      <c r="M17" s="16">
        <f t="shared" ca="1" si="0"/>
        <v>0</v>
      </c>
      <c r="N17" s="9"/>
      <c r="O17" s="14" t="str">
        <f t="shared" ca="1" si="1"/>
        <v>R</v>
      </c>
      <c r="P17" s="9"/>
    </row>
    <row r="18" spans="2:16" x14ac:dyDescent="0.3">
      <c r="B18" s="9"/>
      <c r="C18" s="13" t="str">
        <f>IF('Datos Generales'!C25&lt;&gt;"", 'Datos Generales'!C25, "")</f>
        <v>Matemática</v>
      </c>
      <c r="D18" s="9"/>
      <c r="E18" s="16">
        <f ca="1">GetValue($C18,  AA1, "N", $V$2)</f>
        <v>0</v>
      </c>
      <c r="F18" s="29"/>
      <c r="G18" s="16">
        <f ca="1">GetValue($C18,  AC1, "N", $V$2)</f>
        <v>0</v>
      </c>
      <c r="H18" s="29"/>
      <c r="I18" s="16">
        <f ca="1">GetValue($C18,  AE1, "N", $V$2)</f>
        <v>0</v>
      </c>
      <c r="J18" s="29"/>
      <c r="K18" s="16">
        <f ca="1">GetValue($C18,  AG1, "N", $V$2)</f>
        <v>0</v>
      </c>
      <c r="L18" s="30"/>
      <c r="M18" s="16">
        <f t="shared" ca="1" si="0"/>
        <v>0</v>
      </c>
      <c r="N18" s="9"/>
      <c r="O18" s="14" t="str">
        <f t="shared" ca="1" si="1"/>
        <v>R</v>
      </c>
      <c r="P18" s="9"/>
    </row>
    <row r="19" spans="2:16" x14ac:dyDescent="0.3">
      <c r="B19" s="9"/>
      <c r="C19" s="13" t="str">
        <f>IF('Datos Generales'!C26&lt;&gt;"", 'Datos Generales'!C26, "")</f>
        <v>Estadística</v>
      </c>
      <c r="D19" s="9"/>
      <c r="E19" s="16">
        <f ca="1">GetValue($C19,  AA1, "P", $V$2)</f>
        <v>0</v>
      </c>
      <c r="F19" s="29"/>
      <c r="G19" s="16">
        <f ca="1">GetValue($C19,  AC1, "P", $V$2)</f>
        <v>0</v>
      </c>
      <c r="H19" s="29"/>
      <c r="I19" s="16">
        <f ca="1">GetValue($C19,  AE1, "P", $V$2)</f>
        <v>0</v>
      </c>
      <c r="J19" s="29"/>
      <c r="K19" s="16">
        <f ca="1">GetValue($C19,  AG1, "P", $V$2)</f>
        <v>0</v>
      </c>
      <c r="L19" s="30"/>
      <c r="M19" s="16">
        <f t="shared" ca="1" si="0"/>
        <v>0</v>
      </c>
      <c r="N19" s="9"/>
      <c r="O19" s="14" t="str">
        <f t="shared" ca="1" si="1"/>
        <v>R</v>
      </c>
      <c r="P19" s="9"/>
    </row>
    <row r="20" spans="2:16" x14ac:dyDescent="0.3">
      <c r="B20" s="9"/>
      <c r="C20" s="13" t="str">
        <f>IF('Datos Generales'!C27&lt;&gt;"", 'Datos Generales'!C27, "")</f>
        <v>Química</v>
      </c>
      <c r="D20" s="9"/>
      <c r="E20" s="16">
        <f ca="1">GetValue($C20,  AA1, "R", $V$2)</f>
        <v>0</v>
      </c>
      <c r="F20" s="29"/>
      <c r="G20" s="16">
        <f ca="1">GetValue($C20,  AC1, "R", $V$2)</f>
        <v>0</v>
      </c>
      <c r="H20" s="29"/>
      <c r="I20" s="16">
        <f ca="1">GetValue($C20,  AE1, "R", $V$2)</f>
        <v>0</v>
      </c>
      <c r="J20" s="29"/>
      <c r="K20" s="16">
        <f ca="1">GetValue($C20,  AG1, "R", $V$2)</f>
        <v>0</v>
      </c>
      <c r="L20" s="30"/>
      <c r="M20" s="16">
        <f t="shared" ca="1" si="0"/>
        <v>0</v>
      </c>
      <c r="N20" s="9"/>
      <c r="O20" s="14" t="str">
        <f t="shared" ca="1" si="1"/>
        <v>R</v>
      </c>
      <c r="P20" s="9"/>
    </row>
    <row r="21" spans="2:16" x14ac:dyDescent="0.3">
      <c r="B21" s="9"/>
      <c r="C21" s="13" t="str">
        <f>IF('Datos Generales'!C28&lt;&gt;"", 'Datos Generales'!C28, "")</f>
        <v>Biología</v>
      </c>
      <c r="D21" s="9"/>
      <c r="E21" s="16">
        <f ca="1">GetValue($C21,  AA1, "T", $V$2)</f>
        <v>0</v>
      </c>
      <c r="F21" s="29"/>
      <c r="G21" s="16">
        <f ca="1">GetValue($C21,  AC1, "T", $V$2)</f>
        <v>0</v>
      </c>
      <c r="H21" s="29"/>
      <c r="I21" s="16">
        <f ca="1">GetValue($C21,  AE1, "T", $V$2)</f>
        <v>0</v>
      </c>
      <c r="J21" s="29"/>
      <c r="K21" s="16">
        <f ca="1">GetValue($C21,  AG1, "T", $V$2)</f>
        <v>0</v>
      </c>
      <c r="L21" s="30"/>
      <c r="M21" s="16">
        <f t="shared" ca="1" si="0"/>
        <v>0</v>
      </c>
      <c r="N21" s="9"/>
      <c r="O21" s="14" t="str">
        <f t="shared" ca="1" si="1"/>
        <v>R</v>
      </c>
      <c r="P21" s="9"/>
    </row>
    <row r="22" spans="2:16" x14ac:dyDescent="0.3">
      <c r="B22" s="9"/>
      <c r="C22" s="13" t="str">
        <f>IF('Datos Generales'!C29&lt;&gt;"", 'Datos Generales'!C29, "")</f>
        <v>Seminario</v>
      </c>
      <c r="D22" s="9"/>
      <c r="E22" s="16">
        <f ca="1">GetValue($C22,  AA1, "V", $V$2)</f>
        <v>0</v>
      </c>
      <c r="F22" s="29"/>
      <c r="G22" s="16">
        <f ca="1">GetValue($C22,  AC1, "V", $V$2)</f>
        <v>0</v>
      </c>
      <c r="H22" s="29"/>
      <c r="I22" s="16">
        <f ca="1">GetValue($C22,  AE1, "V", $V$2)</f>
        <v>0</v>
      </c>
      <c r="J22" s="29"/>
      <c r="K22" s="16">
        <f ca="1">GetValue($C22,  AG1, "V", $V$2)</f>
        <v>0</v>
      </c>
      <c r="L22" s="30"/>
      <c r="M22" s="16">
        <f t="shared" ca="1" si="0"/>
        <v>0</v>
      </c>
      <c r="N22" s="9"/>
      <c r="O22" s="14" t="str">
        <f t="shared" ca="1" si="1"/>
        <v>R</v>
      </c>
      <c r="P22" s="9"/>
    </row>
    <row r="23" spans="2:16" ht="15" customHeight="1" x14ac:dyDescent="0.3">
      <c r="B23" s="9"/>
      <c r="C23" s="13" t="str">
        <f>IF('Datos Generales'!C30&lt;&gt;"", 'Datos Generales'!C30, "")</f>
        <v>Administración de Empresas</v>
      </c>
      <c r="D23" s="9"/>
      <c r="E23" s="16">
        <f ca="1">GetValue($C23,  AA1, "X", $V$2)</f>
        <v>0</v>
      </c>
      <c r="F23" s="29"/>
      <c r="G23" s="16">
        <f ca="1">GetValue($C23,  AC1, "X", $V$2)</f>
        <v>0</v>
      </c>
      <c r="H23" s="29"/>
      <c r="I23" s="16">
        <f ca="1">GetValue($C23,  AE1, "X", $V$2)</f>
        <v>0</v>
      </c>
      <c r="J23" s="29"/>
      <c r="K23" s="16">
        <f ca="1">GetValue($C23,  AG1, "X", $V$2)</f>
        <v>0</v>
      </c>
      <c r="L23" s="30"/>
      <c r="M23" s="16">
        <f t="shared" ca="1" si="0"/>
        <v>0</v>
      </c>
      <c r="N23" s="9"/>
      <c r="O23" s="14" t="str">
        <f t="shared" ca="1" si="1"/>
        <v>R</v>
      </c>
      <c r="P23" s="9"/>
    </row>
    <row r="24" spans="2:16" x14ac:dyDescent="0.3">
      <c r="B24" s="9"/>
      <c r="C24" s="13" t="str">
        <f>IF('Datos Generales'!C31&lt;&gt;"", 'Datos Generales'!C31, "")</f>
        <v>Educación Física</v>
      </c>
      <c r="D24" s="9"/>
      <c r="E24" s="16">
        <f ca="1">GetValue($C24,  AA1, "Z", $V$2)</f>
        <v>0</v>
      </c>
      <c r="F24" s="29"/>
      <c r="G24" s="16">
        <f ca="1">GetValue($C24,  AC1, "Z", $V$2)</f>
        <v>0</v>
      </c>
      <c r="H24" s="29"/>
      <c r="I24" s="16">
        <f ca="1">GetValue($C24,  AE1, "Z", $V$2)</f>
        <v>0</v>
      </c>
      <c r="J24" s="29"/>
      <c r="K24" s="16">
        <f ca="1">GetValue($C24,  AG1, "Z", $V$2)</f>
        <v>0</v>
      </c>
      <c r="L24" s="30"/>
      <c r="M24" s="16">
        <f t="shared" ca="1" si="0"/>
        <v>0</v>
      </c>
      <c r="N24" s="9"/>
      <c r="O24" s="14" t="str">
        <f t="shared" ca="1" si="1"/>
        <v>R</v>
      </c>
      <c r="P24" s="9"/>
    </row>
    <row r="25" spans="2:16" x14ac:dyDescent="0.3">
      <c r="B25" s="9"/>
      <c r="C25" s="13" t="str">
        <f>IF('Datos Generales'!C32&lt;&gt;"", 'Datos Generales'!C32, "")</f>
        <v/>
      </c>
      <c r="D25" s="9"/>
      <c r="E25" s="16" t="str">
        <f ca="1">GetValue($C25,  AA1, "AB", $V$2)</f>
        <v/>
      </c>
      <c r="F25" s="29"/>
      <c r="G25" s="16" t="str">
        <f ca="1">GetValue($C25,  AC1, "AB", $V$2)</f>
        <v/>
      </c>
      <c r="H25" s="29"/>
      <c r="I25" s="16" t="str">
        <f ca="1">GetValue($C25,  AE1, "AB", $V$2)</f>
        <v/>
      </c>
      <c r="J25" s="29"/>
      <c r="K25" s="16" t="str">
        <f ca="1">GetValue($C25,  AG1, "AB", $V$2)</f>
        <v/>
      </c>
      <c r="L25" s="30"/>
      <c r="M25" s="16" t="str">
        <f t="shared" si="0"/>
        <v/>
      </c>
      <c r="N25" s="9"/>
      <c r="O25" s="14" t="str">
        <f t="shared" si="1"/>
        <v/>
      </c>
      <c r="P25" s="9"/>
    </row>
    <row r="26" spans="2:16" x14ac:dyDescent="0.3">
      <c r="B26" s="9"/>
      <c r="C26" s="13" t="str">
        <f>IF('Datos Generales'!C33&lt;&gt;"", 'Datos Generales'!C33, "")</f>
        <v/>
      </c>
      <c r="D26" s="9"/>
      <c r="E26" s="16" t="str">
        <f ca="1">GetValue($C26,  AA1, "AD", $V$2)</f>
        <v/>
      </c>
      <c r="F26" s="29"/>
      <c r="G26" s="16" t="str">
        <f ca="1">GetValue($C26,  AC1, "AD", $V$2)</f>
        <v/>
      </c>
      <c r="H26" s="29"/>
      <c r="I26" s="16" t="str">
        <f ca="1">GetValue($C26,  AE1, "AD", $V$2)</f>
        <v/>
      </c>
      <c r="J26" s="29"/>
      <c r="K26" s="16" t="str">
        <f ca="1">GetValue($C26,  AG1, "AD", $V$2)</f>
        <v/>
      </c>
      <c r="L26" s="30"/>
      <c r="M26" s="16" t="str">
        <f t="shared" si="0"/>
        <v/>
      </c>
      <c r="N26" s="9"/>
      <c r="O26" s="14" t="str">
        <f t="shared" si="1"/>
        <v/>
      </c>
      <c r="P26" s="9"/>
    </row>
    <row r="27" spans="2:16" x14ac:dyDescent="0.3">
      <c r="B27" s="9"/>
      <c r="C27" s="13" t="str">
        <f>IF('Datos Generales'!C34&lt;&gt;"", 'Datos Generales'!C34, "")</f>
        <v/>
      </c>
      <c r="D27" s="9"/>
      <c r="E27" s="16" t="str">
        <f ca="1">GetValue($C27,  AA1, "AF", $V$2)</f>
        <v/>
      </c>
      <c r="F27" s="29"/>
      <c r="G27" s="16" t="str">
        <f ca="1">GetValue($C27,  AC1, "AF", $V$2)</f>
        <v/>
      </c>
      <c r="H27" s="29"/>
      <c r="I27" s="16" t="str">
        <f ca="1">GetValue($C27,  AE1, "AF", $V$2)</f>
        <v/>
      </c>
      <c r="J27" s="29"/>
      <c r="K27" s="16" t="str">
        <f ca="1">GetValue($C27,  AG1, "AF", $V$2)</f>
        <v/>
      </c>
      <c r="L27" s="30"/>
      <c r="M27" s="16" t="str">
        <f t="shared" si="0"/>
        <v/>
      </c>
      <c r="N27" s="9"/>
      <c r="O27" s="14" t="str">
        <f t="shared" si="1"/>
        <v/>
      </c>
      <c r="P27" s="9"/>
    </row>
    <row r="28" spans="2:16" x14ac:dyDescent="0.3">
      <c r="B28" s="9"/>
      <c r="C28" s="13" t="str">
        <f>IF('Datos Generales'!C35&lt;&gt;"", 'Datos Generales'!C35, "")</f>
        <v/>
      </c>
      <c r="D28" s="9"/>
      <c r="E28" s="16" t="str">
        <f ca="1">GetValue($C28,  AA1, "AH", $V$2)</f>
        <v/>
      </c>
      <c r="F28" s="29"/>
      <c r="G28" s="16" t="str">
        <f ca="1">GetValue($C28,  AC1, "AH", $V$2)</f>
        <v/>
      </c>
      <c r="H28" s="29"/>
      <c r="I28" s="16" t="str">
        <f ca="1">GetValue($C28,  AE1, "AH", $V$2)</f>
        <v/>
      </c>
      <c r="J28" s="29"/>
      <c r="K28" s="16" t="str">
        <f ca="1">GetValue($C28,  AG1, "AH", $V$2)</f>
        <v/>
      </c>
      <c r="L28" s="30"/>
      <c r="M28" s="16" t="str">
        <f t="shared" si="0"/>
        <v/>
      </c>
      <c r="N28" s="9"/>
      <c r="O28" s="14" t="str">
        <f t="shared" si="1"/>
        <v/>
      </c>
      <c r="P28" s="9"/>
    </row>
    <row r="29" spans="2:16" hidden="1" x14ac:dyDescent="0.3">
      <c r="B29" s="9"/>
      <c r="C29" s="13">
        <f>'Datos Generales'!C36</f>
        <v>0</v>
      </c>
      <c r="D29" s="9"/>
      <c r="E29" s="16" t="str">
        <f>IF(('Unidad 1'!AJ5)=0," ",'Unidad 1'!AJ5)</f>
        <v xml:space="preserve"> </v>
      </c>
      <c r="F29" s="29"/>
      <c r="G29" s="16" t="e">
        <f>IF((#REF!)=0," ",#REF!)</f>
        <v>#REF!</v>
      </c>
      <c r="H29" s="29"/>
      <c r="I29" s="16" t="e">
        <f>IF((#REF!)=0," ",#REF!)</f>
        <v>#REF!</v>
      </c>
      <c r="J29" s="29"/>
      <c r="K29" s="16" t="e">
        <f>IF((#REF!)=0," ",#REF!)</f>
        <v>#REF!</v>
      </c>
      <c r="L29" s="30"/>
      <c r="M29" s="16" t="e">
        <f t="shared" ref="M29" si="2">IF((SUM(E29:K29)/4)=0, " ",SUM(E29:K29)/4)</f>
        <v>#REF!</v>
      </c>
      <c r="N29" s="9"/>
      <c r="O29" s="14" t="e">
        <f t="shared" ref="O29" si="3">IF((M29)&gt;=70,"A","R")</f>
        <v>#REF!</v>
      </c>
      <c r="P29" s="9"/>
    </row>
    <row r="30" spans="2:16" ht="8.1" customHeight="1" x14ac:dyDescent="0.3">
      <c r="B30" s="9"/>
      <c r="C30" s="9"/>
      <c r="D30" s="9"/>
      <c r="E30" s="29"/>
      <c r="F30" s="29"/>
      <c r="G30" s="29"/>
      <c r="H30" s="29"/>
      <c r="I30" s="29"/>
      <c r="J30" s="29"/>
      <c r="K30" s="29"/>
      <c r="L30" s="29"/>
      <c r="M30" s="29"/>
      <c r="N30" s="9"/>
      <c r="O30" s="9"/>
      <c r="P30" s="9"/>
    </row>
    <row r="31" spans="2:16" s="27" customFormat="1" x14ac:dyDescent="0.3">
      <c r="C31" s="16" t="str">
        <f>'Datos Generales'!C97</f>
        <v>Promedio de Unidad</v>
      </c>
      <c r="E31" s="16">
        <f ca="1">AVERAGE(E14:E28)</f>
        <v>0</v>
      </c>
      <c r="G31" s="16">
        <f ca="1">AVERAGE(G14:G28)</f>
        <v>0</v>
      </c>
      <c r="I31" s="16">
        <f ca="1">AVERAGE(I14:I28)</f>
        <v>0</v>
      </c>
      <c r="K31" s="16">
        <f ca="1">AVERAGE(K14:K28)</f>
        <v>0</v>
      </c>
      <c r="M31" s="16">
        <f ca="1">AVERAGE(M14:M28)</f>
        <v>0</v>
      </c>
    </row>
    <row r="34" spans="7:13" x14ac:dyDescent="0.3">
      <c r="G34" s="119" t="s">
        <v>12</v>
      </c>
      <c r="H34" s="119"/>
      <c r="I34" s="119"/>
    </row>
    <row r="35" spans="7:13" x14ac:dyDescent="0.3">
      <c r="G35" s="119" t="str">
        <f>'Datos Generales'!C98</f>
        <v>Firma Maestro Guia</v>
      </c>
      <c r="H35" s="119"/>
      <c r="I35" s="119"/>
    </row>
    <row r="37" spans="7:13" x14ac:dyDescent="0.3">
      <c r="M37" s="28"/>
    </row>
  </sheetData>
  <mergeCells count="7">
    <mergeCell ref="G35:I35"/>
    <mergeCell ref="E1:M1"/>
    <mergeCell ref="D2:I2"/>
    <mergeCell ref="D4:I4"/>
    <mergeCell ref="D5:I5"/>
    <mergeCell ref="E10:K10"/>
    <mergeCell ref="G34:I34"/>
  </mergeCells>
  <pageMargins left="0.7" right="0.7" top="0.75" bottom="0.75" header="0.3" footer="0.3"/>
  <pageSetup orientation="landscape" horizontalDpi="4294967294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38</vt:i4>
      </vt:variant>
    </vt:vector>
  </HeadingPairs>
  <TitlesOfParts>
    <vt:vector size="38" baseType="lpstr">
      <vt:lpstr>Datos Generales</vt:lpstr>
      <vt:lpstr>Unidad 1</vt:lpstr>
      <vt:lpstr>Unidad 2</vt:lpstr>
      <vt:lpstr>Unidad 3</vt:lpstr>
      <vt:lpstr>Unidad 4</vt:lpstr>
      <vt:lpstr>Estadistica Final</vt:lpstr>
      <vt:lpstr>Promedio Final Alumno</vt:lpstr>
      <vt:lpstr>Plantilla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>PC-Gustavo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Lopez</dc:creator>
  <cp:lastModifiedBy>Marvin Estuardo Rosales García</cp:lastModifiedBy>
  <cp:lastPrinted>2026-10-04T17:40:40Z</cp:lastPrinted>
  <dcterms:created xsi:type="dcterms:W3CDTF">2008-04-19T04:41:43Z</dcterms:created>
  <dcterms:modified xsi:type="dcterms:W3CDTF">2026-10-04T18:19:21Z</dcterms:modified>
</cp:coreProperties>
</file>